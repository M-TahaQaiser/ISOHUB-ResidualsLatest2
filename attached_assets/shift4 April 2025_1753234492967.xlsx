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8" documentId="8_{8F82C432-3944-AE49-B35E-A8C7EB9786C3}" xr6:coauthVersionLast="47" xr6:coauthVersionMax="47" xr10:uidLastSave="{1FD78CCA-24A2-8D41-A8A2-3D6E51072788}"/>
  <bookViews>
    <workbookView xWindow="-37240" yWindow="1320" windowWidth="34780" windowHeight="19100" xr2:uid="{00000000-000D-0000-FFFF-FFFF00000000}"/>
  </bookViews>
  <sheets>
    <sheet name="Merchant Portfolio" sheetId="2" r:id="rId1"/>
    <sheet name="Misc Adjustments" sheetId="4" r:id="rId2"/>
    <sheet name="0827" sheetId="6" r:id="rId3"/>
    <sheet name="0914" sheetId="7" r:id="rId4"/>
  </sheets>
  <definedNames>
    <definedName name="_xlnm._FilterDatabase" localSheetId="0" hidden="1">'Merchant Portfolio'!$A$1:$T$1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2" l="1"/>
  <c r="T16" i="2" l="1"/>
  <c r="R16" i="2"/>
  <c r="P16" i="2"/>
  <c r="N16" i="2"/>
  <c r="L16" i="2"/>
  <c r="T12" i="2"/>
  <c r="R12" i="2"/>
  <c r="P12" i="2"/>
  <c r="N12" i="2"/>
  <c r="L12" i="2"/>
  <c r="T65" i="2"/>
  <c r="R65" i="2"/>
  <c r="P65" i="2"/>
  <c r="N65" i="2"/>
  <c r="L65" i="2"/>
  <c r="T26" i="2"/>
  <c r="R26" i="2"/>
  <c r="P26" i="2"/>
  <c r="N26" i="2"/>
  <c r="L26" i="2"/>
  <c r="T25" i="2"/>
  <c r="R25" i="2"/>
  <c r="P25" i="2"/>
  <c r="N25" i="2"/>
  <c r="L25" i="2"/>
  <c r="T99" i="2"/>
  <c r="R99" i="2"/>
  <c r="P99" i="2"/>
  <c r="N99" i="2"/>
  <c r="L99" i="2"/>
  <c r="T98" i="2"/>
  <c r="R98" i="2"/>
  <c r="P98" i="2"/>
  <c r="N98" i="2"/>
  <c r="L98" i="2"/>
  <c r="T76" i="2"/>
  <c r="R76" i="2"/>
  <c r="P76" i="2"/>
  <c r="N76" i="2"/>
  <c r="L76" i="2"/>
  <c r="T51" i="2"/>
  <c r="R51" i="2"/>
  <c r="P51" i="2"/>
  <c r="N51" i="2"/>
  <c r="L51" i="2"/>
  <c r="T18" i="2"/>
  <c r="R18" i="2"/>
  <c r="P18" i="2"/>
  <c r="N18" i="2"/>
  <c r="L18" i="2"/>
  <c r="T40" i="2"/>
  <c r="R40" i="2"/>
  <c r="P40" i="2"/>
  <c r="N40" i="2"/>
  <c r="L40" i="2"/>
  <c r="T64" i="2"/>
  <c r="R64" i="2"/>
  <c r="P64" i="2"/>
  <c r="N64" i="2"/>
  <c r="L64" i="2"/>
  <c r="T46" i="2"/>
  <c r="R46" i="2"/>
  <c r="P46" i="2"/>
  <c r="N46" i="2"/>
  <c r="L46" i="2"/>
  <c r="T73" i="2"/>
  <c r="R73" i="2"/>
  <c r="P73" i="2"/>
  <c r="N73" i="2"/>
  <c r="L73" i="2"/>
  <c r="T78" i="2"/>
  <c r="R78" i="2"/>
  <c r="P78" i="2"/>
  <c r="N78" i="2"/>
  <c r="N79" i="2" s="1"/>
  <c r="L78" i="2"/>
  <c r="L79" i="2" s="1"/>
  <c r="T4" i="2"/>
  <c r="R4" i="2"/>
  <c r="P4" i="2"/>
  <c r="N4" i="2"/>
  <c r="L4" i="2"/>
  <c r="T63" i="2"/>
  <c r="R63" i="2"/>
  <c r="P63" i="2"/>
  <c r="N63" i="2"/>
  <c r="L63" i="2"/>
  <c r="T3" i="2"/>
  <c r="R3" i="2"/>
  <c r="P3" i="2"/>
  <c r="N3" i="2"/>
  <c r="L3" i="2"/>
  <c r="T93" i="2"/>
  <c r="R93" i="2"/>
  <c r="P93" i="2"/>
  <c r="N93" i="2"/>
  <c r="L93" i="2"/>
  <c r="T72" i="2"/>
  <c r="R72" i="2"/>
  <c r="P72" i="2"/>
  <c r="N72" i="2"/>
  <c r="L72" i="2"/>
  <c r="L74" i="2" s="1"/>
  <c r="T24" i="2"/>
  <c r="R24" i="2"/>
  <c r="P24" i="2"/>
  <c r="N24" i="2"/>
  <c r="L24" i="2"/>
  <c r="T97" i="2"/>
  <c r="R97" i="2"/>
  <c r="P97" i="2"/>
  <c r="N97" i="2"/>
  <c r="L97" i="2"/>
  <c r="T87" i="2"/>
  <c r="R87" i="2"/>
  <c r="P87" i="2"/>
  <c r="N87" i="2"/>
  <c r="N88" i="2" s="1"/>
  <c r="L87" i="2"/>
  <c r="L88" i="2" s="1"/>
  <c r="T62" i="2"/>
  <c r="R62" i="2"/>
  <c r="P62" i="2"/>
  <c r="N62" i="2"/>
  <c r="L62" i="2"/>
  <c r="T92" i="2"/>
  <c r="R92" i="2"/>
  <c r="P92" i="2"/>
  <c r="N92" i="2"/>
  <c r="L92" i="2"/>
  <c r="T85" i="2"/>
  <c r="R85" i="2"/>
  <c r="P85" i="2"/>
  <c r="N85" i="2"/>
  <c r="L85" i="2"/>
  <c r="T39" i="2"/>
  <c r="R39" i="2"/>
  <c r="P39" i="2"/>
  <c r="N39" i="2"/>
  <c r="L39" i="2"/>
  <c r="T15" i="2"/>
  <c r="R15" i="2"/>
  <c r="P15" i="2"/>
  <c r="N15" i="2"/>
  <c r="L15" i="2"/>
  <c r="T38" i="2"/>
  <c r="R38" i="2"/>
  <c r="P38" i="2"/>
  <c r="N38" i="2"/>
  <c r="L38" i="2"/>
  <c r="T23" i="2"/>
  <c r="R23" i="2"/>
  <c r="P23" i="2"/>
  <c r="N23" i="2"/>
  <c r="L23" i="2"/>
  <c r="T45" i="2"/>
  <c r="R45" i="2"/>
  <c r="P45" i="2"/>
  <c r="N45" i="2"/>
  <c r="L45" i="2"/>
  <c r="T61" i="2"/>
  <c r="R61" i="2"/>
  <c r="P61" i="2"/>
  <c r="N61" i="2"/>
  <c r="L61" i="2"/>
  <c r="T60" i="2"/>
  <c r="R60" i="2"/>
  <c r="P60" i="2"/>
  <c r="N60" i="2"/>
  <c r="L60" i="2"/>
  <c r="T59" i="2"/>
  <c r="R59" i="2"/>
  <c r="P59" i="2"/>
  <c r="N59" i="2"/>
  <c r="L59" i="2"/>
  <c r="T44" i="2"/>
  <c r="R44" i="2"/>
  <c r="P44" i="2"/>
  <c r="N44" i="2"/>
  <c r="L44" i="2"/>
  <c r="T80" i="2"/>
  <c r="R80" i="2"/>
  <c r="P80" i="2"/>
  <c r="N80" i="2"/>
  <c r="N81" i="2" s="1"/>
  <c r="L80" i="2"/>
  <c r="L81" i="2" s="1"/>
  <c r="T22" i="2"/>
  <c r="R22" i="2"/>
  <c r="P22" i="2"/>
  <c r="N22" i="2"/>
  <c r="L22" i="2"/>
  <c r="T91" i="2"/>
  <c r="R91" i="2"/>
  <c r="P91" i="2"/>
  <c r="N91" i="2"/>
  <c r="L91" i="2"/>
  <c r="T58" i="2"/>
  <c r="R58" i="2"/>
  <c r="P58" i="2"/>
  <c r="N58" i="2"/>
  <c r="L58" i="2"/>
  <c r="T75" i="2"/>
  <c r="R75" i="2"/>
  <c r="P75" i="2"/>
  <c r="N75" i="2"/>
  <c r="N77" i="2" s="1"/>
  <c r="L75" i="2"/>
  <c r="L77" i="2" s="1"/>
  <c r="T57" i="2"/>
  <c r="R57" i="2"/>
  <c r="P57" i="2"/>
  <c r="N57" i="2"/>
  <c r="L57" i="2"/>
  <c r="T50" i="2"/>
  <c r="R50" i="2"/>
  <c r="P50" i="2"/>
  <c r="N50" i="2"/>
  <c r="L50" i="2"/>
  <c r="T70" i="2"/>
  <c r="R70" i="2"/>
  <c r="P70" i="2"/>
  <c r="N70" i="2"/>
  <c r="L70" i="2"/>
  <c r="T69" i="2"/>
  <c r="R69" i="2"/>
  <c r="P69" i="2"/>
  <c r="N69" i="2"/>
  <c r="L69" i="2"/>
  <c r="T68" i="2"/>
  <c r="R68" i="2"/>
  <c r="P68" i="2"/>
  <c r="N68" i="2"/>
  <c r="L68" i="2"/>
  <c r="T67" i="2"/>
  <c r="R67" i="2"/>
  <c r="P67" i="2"/>
  <c r="N67" i="2"/>
  <c r="L67" i="2"/>
  <c r="T14" i="2"/>
  <c r="R14" i="2"/>
  <c r="P14" i="2"/>
  <c r="N14" i="2"/>
  <c r="L14" i="2"/>
  <c r="T37" i="2"/>
  <c r="R37" i="2"/>
  <c r="P37" i="2"/>
  <c r="N37" i="2"/>
  <c r="L37" i="2"/>
  <c r="T43" i="2"/>
  <c r="R43" i="2"/>
  <c r="P43" i="2"/>
  <c r="N43" i="2"/>
  <c r="L43" i="2"/>
  <c r="T84" i="2"/>
  <c r="R84" i="2"/>
  <c r="P84" i="2"/>
  <c r="N84" i="2"/>
  <c r="L84" i="2"/>
  <c r="T36" i="2"/>
  <c r="R36" i="2"/>
  <c r="P36" i="2"/>
  <c r="N36" i="2"/>
  <c r="L36" i="2"/>
  <c r="T35" i="2"/>
  <c r="R35" i="2"/>
  <c r="P35" i="2"/>
  <c r="N35" i="2"/>
  <c r="L35" i="2"/>
  <c r="T34" i="2"/>
  <c r="R34" i="2"/>
  <c r="P34" i="2"/>
  <c r="N34" i="2"/>
  <c r="L34" i="2"/>
  <c r="T96" i="2"/>
  <c r="R96" i="2"/>
  <c r="P96" i="2"/>
  <c r="N96" i="2"/>
  <c r="L96" i="2"/>
  <c r="T33" i="2"/>
  <c r="R33" i="2"/>
  <c r="P33" i="2"/>
  <c r="N33" i="2"/>
  <c r="L33" i="2"/>
  <c r="T2" i="2"/>
  <c r="R2" i="2"/>
  <c r="P2" i="2"/>
  <c r="N2" i="2"/>
  <c r="L2" i="2"/>
  <c r="T56" i="2"/>
  <c r="R56" i="2"/>
  <c r="P56" i="2"/>
  <c r="N56" i="2"/>
  <c r="L56" i="2"/>
  <c r="T32" i="2"/>
  <c r="R32" i="2"/>
  <c r="P32" i="2"/>
  <c r="N32" i="2"/>
  <c r="L32" i="2"/>
  <c r="T31" i="2"/>
  <c r="R31" i="2"/>
  <c r="P31" i="2"/>
  <c r="N31" i="2"/>
  <c r="L31" i="2"/>
  <c r="T42" i="2"/>
  <c r="R42" i="2"/>
  <c r="P42" i="2"/>
  <c r="N42" i="2"/>
  <c r="L42" i="2"/>
  <c r="T13" i="2"/>
  <c r="R13" i="2"/>
  <c r="P13" i="2"/>
  <c r="N13" i="2"/>
  <c r="L13" i="2"/>
  <c r="T21" i="2"/>
  <c r="R21" i="2"/>
  <c r="P21" i="2"/>
  <c r="N21" i="2"/>
  <c r="L21" i="2"/>
  <c r="T20" i="2"/>
  <c r="R20" i="2"/>
  <c r="P20" i="2"/>
  <c r="N20" i="2"/>
  <c r="L20" i="2"/>
  <c r="T30" i="2"/>
  <c r="R30" i="2"/>
  <c r="P30" i="2"/>
  <c r="N30" i="2"/>
  <c r="L30" i="2"/>
  <c r="T41" i="2"/>
  <c r="R41" i="2"/>
  <c r="P41" i="2"/>
  <c r="N41" i="2"/>
  <c r="L41" i="2"/>
  <c r="T83" i="2"/>
  <c r="R83" i="2"/>
  <c r="P83" i="2"/>
  <c r="N83" i="2"/>
  <c r="L83" i="2"/>
  <c r="T6" i="2"/>
  <c r="R6" i="2"/>
  <c r="P6" i="2"/>
  <c r="N6" i="2"/>
  <c r="N7" i="2" s="1"/>
  <c r="L6" i="2"/>
  <c r="L7" i="2" s="1"/>
  <c r="T19" i="2"/>
  <c r="R19" i="2"/>
  <c r="P19" i="2"/>
  <c r="N19" i="2"/>
  <c r="L19" i="2"/>
  <c r="T82" i="2"/>
  <c r="R82" i="2"/>
  <c r="P82" i="2"/>
  <c r="N82" i="2"/>
  <c r="L82" i="2"/>
  <c r="L86" i="2" s="1"/>
  <c r="T49" i="2"/>
  <c r="R49" i="2"/>
  <c r="P49" i="2"/>
  <c r="N49" i="2"/>
  <c r="L49" i="2"/>
  <c r="T29" i="2"/>
  <c r="R29" i="2"/>
  <c r="P29" i="2"/>
  <c r="N29" i="2"/>
  <c r="L29" i="2"/>
  <c r="T11" i="2"/>
  <c r="R11" i="2"/>
  <c r="P11" i="2"/>
  <c r="N11" i="2"/>
  <c r="L11" i="2"/>
  <c r="T48" i="2"/>
  <c r="R48" i="2"/>
  <c r="P48" i="2"/>
  <c r="N48" i="2"/>
  <c r="L48" i="2"/>
  <c r="T90" i="2"/>
  <c r="R90" i="2"/>
  <c r="P90" i="2"/>
  <c r="N90" i="2"/>
  <c r="L90" i="2"/>
  <c r="T89" i="2"/>
  <c r="R89" i="2"/>
  <c r="P89" i="2"/>
  <c r="N89" i="2"/>
  <c r="L89" i="2"/>
  <c r="T10" i="2"/>
  <c r="R10" i="2"/>
  <c r="P10" i="2"/>
  <c r="N10" i="2"/>
  <c r="L10" i="2"/>
  <c r="T55" i="2"/>
  <c r="R55" i="2"/>
  <c r="P55" i="2"/>
  <c r="N55" i="2"/>
  <c r="L55" i="2"/>
  <c r="T28" i="2"/>
  <c r="R28" i="2"/>
  <c r="P28" i="2"/>
  <c r="N28" i="2"/>
  <c r="L28" i="2"/>
  <c r="T9" i="2"/>
  <c r="R9" i="2"/>
  <c r="P9" i="2"/>
  <c r="N9" i="2"/>
  <c r="L9" i="2"/>
  <c r="T54" i="2"/>
  <c r="R54" i="2"/>
  <c r="P54" i="2"/>
  <c r="N54" i="2"/>
  <c r="L54" i="2"/>
  <c r="T8" i="2"/>
  <c r="R8" i="2"/>
  <c r="P8" i="2"/>
  <c r="N8" i="2"/>
  <c r="L8" i="2"/>
  <c r="T95" i="2"/>
  <c r="R95" i="2"/>
  <c r="P95" i="2"/>
  <c r="N95" i="2"/>
  <c r="L95" i="2"/>
  <c r="T53" i="2"/>
  <c r="R53" i="2"/>
  <c r="P53" i="2"/>
  <c r="N53" i="2"/>
  <c r="L53" i="2"/>
  <c r="L17" i="2" l="1"/>
  <c r="T101" i="2"/>
  <c r="P101" i="2"/>
  <c r="R101" i="2"/>
  <c r="L66" i="2"/>
  <c r="L47" i="2"/>
  <c r="N47" i="2"/>
  <c r="N17" i="2"/>
  <c r="N66" i="2"/>
  <c r="N86" i="2"/>
  <c r="L5" i="2"/>
  <c r="N5" i="2"/>
  <c r="L52" i="2"/>
  <c r="N52" i="2"/>
  <c r="N74" i="2"/>
  <c r="L100" i="2"/>
  <c r="N71" i="2"/>
  <c r="L94" i="2"/>
  <c r="N94" i="2"/>
  <c r="L71" i="2"/>
  <c r="L27" i="2"/>
  <c r="N100" i="2"/>
  <c r="N27" i="2"/>
</calcChain>
</file>

<file path=xl/sharedStrings.xml><?xml version="1.0" encoding="utf-8"?>
<sst xmlns="http://schemas.openxmlformats.org/spreadsheetml/2006/main" count="459" uniqueCount="243">
  <si>
    <t>Amount</t>
  </si>
  <si>
    <t>Merchant ID</t>
  </si>
  <si>
    <t>Merchant Name</t>
  </si>
  <si>
    <t>Payout Amount</t>
  </si>
  <si>
    <t>Volume</t>
  </si>
  <si>
    <t>Sales</t>
  </si>
  <si>
    <t>Refunds</t>
  </si>
  <si>
    <t>Reject Amount</t>
  </si>
  <si>
    <t>Salesrep ID</t>
  </si>
  <si>
    <t>0021782569</t>
  </si>
  <si>
    <t>THE OPEN CHEER &amp; DANCE</t>
  </si>
  <si>
    <t>030CM</t>
  </si>
  <si>
    <t>0022136935</t>
  </si>
  <si>
    <t>PREP AND REC GRAND NATIONALS</t>
  </si>
  <si>
    <t>0022000537</t>
  </si>
  <si>
    <t>BAR 3</t>
  </si>
  <si>
    <t>030JB</t>
  </si>
  <si>
    <t>0021799921</t>
  </si>
  <si>
    <t>CRUZY</t>
  </si>
  <si>
    <t>030EF</t>
  </si>
  <si>
    <t>0021774587</t>
  </si>
  <si>
    <t>MARCO ESCAPES INC</t>
  </si>
  <si>
    <t>0021752965</t>
  </si>
  <si>
    <t>TWO LOONS WAREHOUSE</t>
  </si>
  <si>
    <t>030JH</t>
  </si>
  <si>
    <t>0021656251</t>
  </si>
  <si>
    <t>TAQUERIA EL VAQUERO</t>
  </si>
  <si>
    <t>030AB</t>
  </si>
  <si>
    <t>0021606314</t>
  </si>
  <si>
    <t>ALEXANDERS GROCERY &amp; DELI</t>
  </si>
  <si>
    <t>0022136927</t>
  </si>
  <si>
    <t>OPEN ORLANDO</t>
  </si>
  <si>
    <t>0022106490</t>
  </si>
  <si>
    <t>JOSES LATIN FOOD</t>
  </si>
  <si>
    <t>030CB</t>
  </si>
  <si>
    <t>0021806567</t>
  </si>
  <si>
    <t xml:space="preserve">KEY WEST EMPORIUM - KAYA ISLAND </t>
  </si>
  <si>
    <t>0021988914</t>
  </si>
  <si>
    <t>FRONT STREET GRILL</t>
  </si>
  <si>
    <t>0021806568</t>
  </si>
  <si>
    <t>KEY WEST EMPORIUM - 618 DUVAL ST</t>
  </si>
  <si>
    <t>0021752968</t>
  </si>
  <si>
    <t>NEON MOON</t>
  </si>
  <si>
    <t>0021880772</t>
  </si>
  <si>
    <t>FLAN FACTORY</t>
  </si>
  <si>
    <t>030JW</t>
  </si>
  <si>
    <t>0022197317</t>
  </si>
  <si>
    <t>MALCOLMS</t>
  </si>
  <si>
    <t>030HC</t>
  </si>
  <si>
    <t>0021746156</t>
  </si>
  <si>
    <t>GOLDEN LIGHT BEER GARDEN</t>
  </si>
  <si>
    <t>0021907393</t>
  </si>
  <si>
    <t>JUDITH R. RODRIGUEZ-BEC DMD PA</t>
  </si>
  <si>
    <t>030TE</t>
  </si>
  <si>
    <t>0021949643</t>
  </si>
  <si>
    <t>ONE CUT GLASS LLC</t>
  </si>
  <si>
    <t>030TH</t>
  </si>
  <si>
    <t>0021806569</t>
  </si>
  <si>
    <t>KEY WEST EMPORIUM - BACKYARD BAR</t>
  </si>
  <si>
    <t>0021802590</t>
  </si>
  <si>
    <t>TACOS GARCIA</t>
  </si>
  <si>
    <t>0021907161</t>
  </si>
  <si>
    <t>LA CHAPINA RESTAURANT</t>
  </si>
  <si>
    <t>0021885243</t>
  </si>
  <si>
    <t>GRANDPA DONUTS</t>
  </si>
  <si>
    <t>0020840981</t>
  </si>
  <si>
    <t>THE 212 CLUB LLC</t>
  </si>
  <si>
    <t>JF030</t>
  </si>
  <si>
    <t>0021853480</t>
  </si>
  <si>
    <t>UNITED POSTAL CENTER PLUS</t>
  </si>
  <si>
    <t>0020185112</t>
  </si>
  <si>
    <t>ORIGINAL PINE SHED</t>
  </si>
  <si>
    <t>0021986355</t>
  </si>
  <si>
    <t>PITAS IN PARADISE GUNNISON</t>
  </si>
  <si>
    <t>GR030</t>
  </si>
  <si>
    <t>0021952076</t>
  </si>
  <si>
    <t>The Porch at Huntington Square</t>
  </si>
  <si>
    <t>0022228112</t>
  </si>
  <si>
    <t>LAMBERTS BAR AND RESTAURANT</t>
  </si>
  <si>
    <t>0022506806</t>
  </si>
  <si>
    <t>ROBINSONS BBQ</t>
  </si>
  <si>
    <t>0022000784</t>
  </si>
  <si>
    <t>CHERRY ON TOP</t>
  </si>
  <si>
    <t>0022037562</t>
  </si>
  <si>
    <t>EL TROPICO PERRYTON-3</t>
  </si>
  <si>
    <t>ET2AB</t>
  </si>
  <si>
    <t>0021958362</t>
  </si>
  <si>
    <t xml:space="preserve">TACOSLAND </t>
  </si>
  <si>
    <t>0021943547</t>
  </si>
  <si>
    <t>SPOTTED PONY</t>
  </si>
  <si>
    <t>0021902501</t>
  </si>
  <si>
    <t>PITAS IN PARADISE CRESTED BUTTE</t>
  </si>
  <si>
    <t>0021882570</t>
  </si>
  <si>
    <t>SANTA CECILIA - HORIZON</t>
  </si>
  <si>
    <t>030LD</t>
  </si>
  <si>
    <t>0022500833</t>
  </si>
  <si>
    <t>UP 4 BREAKFAST- LAKEWOOD PLAZA</t>
  </si>
  <si>
    <t>0022119444</t>
  </si>
  <si>
    <t>ODDS AND ENDS EMPORIUM</t>
  </si>
  <si>
    <t>0022214260</t>
  </si>
  <si>
    <t xml:space="preserve"> 1899 MINING CLAIM SALOON</t>
  </si>
  <si>
    <t>0021799251</t>
  </si>
  <si>
    <t>LA MARIA ICE CREAM SHOP</t>
  </si>
  <si>
    <t>0021844372</t>
  </si>
  <si>
    <t>IRON HORSE TAP</t>
  </si>
  <si>
    <t>0022509503</t>
  </si>
  <si>
    <t>EL TROPICO DUMAS</t>
  </si>
  <si>
    <t>0021521729</t>
  </si>
  <si>
    <t>JACOBO'S CAFE</t>
  </si>
  <si>
    <t>0021842384</t>
  </si>
  <si>
    <t>LOUIE LOUIES PIANO BAR</t>
  </si>
  <si>
    <t>0021902493</t>
  </si>
  <si>
    <t>MIKEYS PIZZA</t>
  </si>
  <si>
    <t>0021809588</t>
  </si>
  <si>
    <t>REV ROOM</t>
  </si>
  <si>
    <t>0021821351</t>
  </si>
  <si>
    <t>HATTON G. DOUGLAS VFW POST 424</t>
  </si>
  <si>
    <t>0022502961</t>
  </si>
  <si>
    <t>AQUA NIGHT CLUB</t>
  </si>
  <si>
    <t>0021898436</t>
  </si>
  <si>
    <t>BRODIES CREAM &amp; BEAN</t>
  </si>
  <si>
    <t>0021828237</t>
  </si>
  <si>
    <t>THE OLD TASCOSA BREWERY</t>
  </si>
  <si>
    <t>0022052066</t>
  </si>
  <si>
    <t>0021826686</t>
  </si>
  <si>
    <t>THE KAST NET</t>
  </si>
  <si>
    <t>0021966209</t>
  </si>
  <si>
    <t>CLARENDON COUNTRY CLUB</t>
  </si>
  <si>
    <t>0022187961</t>
  </si>
  <si>
    <t>CHINESE AND THAI CUISINE 2022 LL</t>
  </si>
  <si>
    <t>0021895747</t>
  </si>
  <si>
    <t>SOUTHERN SANDS PRINTING CO</t>
  </si>
  <si>
    <t>0022136000</t>
  </si>
  <si>
    <t>WATER TREE-10TH</t>
  </si>
  <si>
    <t>0022136026</t>
  </si>
  <si>
    <t>WATER TREE-BELL</t>
  </si>
  <si>
    <t>0021833482</t>
  </si>
  <si>
    <t>LA CAMPENA CATRACHA</t>
  </si>
  <si>
    <t>0021860733</t>
  </si>
  <si>
    <t>PRECINCT PIZZA &amp; MORE, INC.</t>
  </si>
  <si>
    <t>0021746157</t>
  </si>
  <si>
    <t>GOLDEN LIGHT CANTINA</t>
  </si>
  <si>
    <t>0021886233</t>
  </si>
  <si>
    <t>KEYS BOAT FURNITURE</t>
  </si>
  <si>
    <t>0022169266</t>
  </si>
  <si>
    <t>AMERICAN SEOUL FOOD</t>
  </si>
  <si>
    <t>0021936715</t>
  </si>
  <si>
    <t>SURF SIDE SHORES CONDOMINIUM OWN</t>
  </si>
  <si>
    <t>0021814861</t>
  </si>
  <si>
    <t>STOCKING ICE CREAM PARLOR</t>
  </si>
  <si>
    <t>0022036861</t>
  </si>
  <si>
    <t>EL CUERVO TAQUERIA EXPRESS</t>
  </si>
  <si>
    <t>0022234441</t>
  </si>
  <si>
    <t>PAPIZZTA</t>
  </si>
  <si>
    <t>0022021673</t>
  </si>
  <si>
    <t>ETTER MOTORS &amp; TIRES</t>
  </si>
  <si>
    <t>0021929090</t>
  </si>
  <si>
    <t>AMTECH TEL</t>
  </si>
  <si>
    <t>0021986470</t>
  </si>
  <si>
    <t>PITABOY INC</t>
  </si>
  <si>
    <t>0021788132</t>
  </si>
  <si>
    <t>IBIS BAY RESORT</t>
  </si>
  <si>
    <t>0021788133</t>
  </si>
  <si>
    <t>IBIS BAY WATER SPORTS</t>
  </si>
  <si>
    <t>0021872092</t>
  </si>
  <si>
    <t>ANDY AND DAVES GARAGE</t>
  </si>
  <si>
    <t>0021848373</t>
  </si>
  <si>
    <t>AACTION BETTER BUILT TRANSMISSIO</t>
  </si>
  <si>
    <t>0021863992</t>
  </si>
  <si>
    <t>CORNERSTONE WORSHIP CENTER</t>
  </si>
  <si>
    <t>0021862960</t>
  </si>
  <si>
    <t>SAMUELS HOUSE</t>
  </si>
  <si>
    <t>0022118248</t>
  </si>
  <si>
    <t xml:space="preserve">THE IRON SKILLET RESTAURANT </t>
  </si>
  <si>
    <t>0022057511</t>
  </si>
  <si>
    <t xml:space="preserve">THE GREAT CATCH </t>
  </si>
  <si>
    <t>0022563401</t>
  </si>
  <si>
    <t xml:space="preserve">WHEALTHY UNLIMITED </t>
  </si>
  <si>
    <t>0022563021</t>
  </si>
  <si>
    <t>EL PALETON MARTIN RD</t>
  </si>
  <si>
    <t>0021878958</t>
  </si>
  <si>
    <t>SP030TE - SKYTAB DEMO TEST</t>
  </si>
  <si>
    <t>0021997519</t>
  </si>
  <si>
    <t xml:space="preserve">SP030MP- SKYTAB DEMO TEST </t>
  </si>
  <si>
    <t>030MP</t>
  </si>
  <si>
    <t>0021970987</t>
  </si>
  <si>
    <t>SP030GR - SKYTAB DEMO TEST</t>
  </si>
  <si>
    <t>0022048189</t>
  </si>
  <si>
    <t>THE BISTRO</t>
  </si>
  <si>
    <t>Description</t>
  </si>
  <si>
    <t>Type</t>
  </si>
  <si>
    <t>UpfrontBonus Retracted - 22020154┬á- Reason: Non-Processing</t>
  </si>
  <si>
    <t>Bonus Retraction</t>
  </si>
  <si>
    <t>Dealer Support Fee for MID: 0021882570 - SANTA CECILIA - HORIZON</t>
  </si>
  <si>
    <t>Miscellaneous</t>
  </si>
  <si>
    <t>Rep Name</t>
  </si>
  <si>
    <t>Bank (HBS) / Direct</t>
  </si>
  <si>
    <t>Rep Split</t>
  </si>
  <si>
    <t>Rep Payout</t>
  </si>
  <si>
    <t>Rep Split / 2</t>
  </si>
  <si>
    <t>Rep Payout / 2</t>
  </si>
  <si>
    <t>Bank Split</t>
  </si>
  <si>
    <t>Bank Payout</t>
  </si>
  <si>
    <t>C2FS Split</t>
  </si>
  <si>
    <t>C2FS Payout</t>
  </si>
  <si>
    <t>0914 Split</t>
  </si>
  <si>
    <t>0914 Payout</t>
  </si>
  <si>
    <t>Gage Richardson / Joy West</t>
  </si>
  <si>
    <t>Direct</t>
  </si>
  <si>
    <t>Troy Esentan</t>
  </si>
  <si>
    <t>HBS</t>
  </si>
  <si>
    <t>Cail Brewer</t>
  </si>
  <si>
    <t>Cody Burnell</t>
  </si>
  <si>
    <t>Tammy Huffaker</t>
  </si>
  <si>
    <t>Emma Barre</t>
  </si>
  <si>
    <t>Lindsay Dugger</t>
  </si>
  <si>
    <t>Christy Milton</t>
  </si>
  <si>
    <t>Augustine Barragan / Alejandro Bernal</t>
  </si>
  <si>
    <t>Alejandro Bernal</t>
  </si>
  <si>
    <t xml:space="preserve">Hailey Clark  </t>
  </si>
  <si>
    <t>Janet Howey</t>
  </si>
  <si>
    <t>Joy West</t>
  </si>
  <si>
    <t>Mark Pierce</t>
  </si>
  <si>
    <t>Hailey Clark / Cail</t>
  </si>
  <si>
    <t>Josh Fite</t>
  </si>
  <si>
    <t>Alejandro Bernal Total</t>
  </si>
  <si>
    <t>Augustine Barragan / Alejandro Bernal Total</t>
  </si>
  <si>
    <t>Cail Brewer Total</t>
  </si>
  <si>
    <t>Christy Milton Total</t>
  </si>
  <si>
    <t>Cody Burnell Total</t>
  </si>
  <si>
    <t>Emma Barre Total</t>
  </si>
  <si>
    <t>Gage Richardson / Joy West Total</t>
  </si>
  <si>
    <t>Hailey Clark   Total</t>
  </si>
  <si>
    <t>Hailey Clark / Cail Total</t>
  </si>
  <si>
    <t>Janet Howey Total</t>
  </si>
  <si>
    <t>Josh Fite Total</t>
  </si>
  <si>
    <t>Joy West Total</t>
  </si>
  <si>
    <t>Lindsay Dugger Total</t>
  </si>
  <si>
    <t>Mark Pierce Total</t>
  </si>
  <si>
    <t>Tammy Huffaker Total</t>
  </si>
  <si>
    <t>Troy Esentan Total</t>
  </si>
  <si>
    <t>Grand Total</t>
  </si>
  <si>
    <t>Cody Burnell / 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</si>
</sst>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sz val="11"/>
      <color rgb="FFF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4" fontId="3" fillId="2" borderId="1" xfId="0" applyNumberFormat="1" applyFont="1" applyFill="1" applyBorder="1"/>
    <xf numFmtId="0" fontId="0" fillId="0" borderId="3" xfId="0" applyBorder="1"/>
    <xf numFmtId="0" fontId="0" fillId="0" borderId="1" xfId="0" applyBorder="1"/>
    <xf numFmtId="164" fontId="0" fillId="0" borderId="1" xfId="0" applyNumberFormat="1" applyBorder="1"/>
    <xf numFmtId="0" fontId="4" fillId="0" borderId="4" xfId="0" applyFont="1" applyBorder="1"/>
    <xf numFmtId="2" fontId="4" fillId="0" borderId="4" xfId="0" applyNumberFormat="1" applyFont="1" applyBorder="1"/>
    <xf numFmtId="0" fontId="5" fillId="0" borderId="4" xfId="0" applyFont="1" applyBorder="1"/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2" fillId="0" borderId="0" xfId="0" applyFont="1"/>
    <xf numFmtId="2" fontId="4" fillId="3" borderId="4" xfId="0" applyNumberFormat="1" applyFont="1" applyFill="1" applyBorder="1"/>
    <xf numFmtId="2" fontId="4" fillId="3" borderId="0" xfId="0" applyNumberFormat="1" applyFont="1" applyFill="1"/>
    <xf numFmtId="2" fontId="4" fillId="4" borderId="4" xfId="0" applyNumberFormat="1" applyFont="1" applyFill="1" applyBorder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isc_adjustments" displayName="Misc_adjustments" ref="A1:C3">
  <autoFilter ref="A1:C3" xr:uid="{00000000-0009-0000-0100-000006000000}">
    <filterColumn colId="0" hiddenButton="1"/>
    <filterColumn colId="1" hiddenButton="1"/>
    <filterColumn colId="2" hiddenButton="1"/>
  </autoFilter>
  <tableColumns count="3">
    <tableColumn id="1" xr3:uid="{00000000-0010-0000-0500-000001000000}" name="Description" totalsRowLabel="Total"/>
    <tableColumn id="2" xr3:uid="{00000000-0010-0000-0500-000002000000}" name="Type"/>
    <tableColumn id="3" xr3:uid="{00000000-0010-0000-0500-000003000000}" name="Amou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6"/>
  <sheetViews>
    <sheetView tabSelected="1" topLeftCell="A10" workbookViewId="0">
      <selection activeCell="H41" sqref="H41"/>
    </sheetView>
  </sheetViews>
  <sheetFormatPr baseColWidth="10" defaultColWidth="8.83203125" defaultRowHeight="15" outlineLevelRow="2" x14ac:dyDescent="0.2"/>
  <cols>
    <col min="1" max="1" width="12" customWidth="1"/>
    <col min="2" max="2" width="24" customWidth="1"/>
    <col min="3" max="4" width="17" style="1" customWidth="1"/>
    <col min="5" max="6" width="17" customWidth="1"/>
    <col min="7" max="7" width="17" style="1" customWidth="1"/>
    <col min="8" max="8" width="17" customWidth="1"/>
    <col min="9" max="9" width="40.83203125" bestFit="1" customWidth="1"/>
  </cols>
  <sheetData>
    <row r="1" spans="1:20" x14ac:dyDescent="0.2">
      <c r="A1" s="5" t="s">
        <v>1</v>
      </c>
      <c r="B1" s="3" t="s">
        <v>2</v>
      </c>
      <c r="C1" s="6" t="s">
        <v>3</v>
      </c>
      <c r="D1" s="6" t="s">
        <v>4</v>
      </c>
      <c r="E1" s="3" t="s">
        <v>5</v>
      </c>
      <c r="F1" s="3" t="s">
        <v>6</v>
      </c>
      <c r="G1" s="6" t="s">
        <v>7</v>
      </c>
      <c r="H1" s="3" t="s">
        <v>8</v>
      </c>
      <c r="I1" s="3" t="s">
        <v>195</v>
      </c>
      <c r="J1" s="3" t="s">
        <v>196</v>
      </c>
      <c r="K1" s="3" t="s">
        <v>197</v>
      </c>
      <c r="L1" s="3" t="s">
        <v>198</v>
      </c>
      <c r="M1" s="3" t="s">
        <v>199</v>
      </c>
      <c r="N1" s="3" t="s">
        <v>200</v>
      </c>
      <c r="O1" s="3" t="s">
        <v>201</v>
      </c>
      <c r="P1" s="3" t="s">
        <v>202</v>
      </c>
      <c r="Q1" s="3" t="s">
        <v>203</v>
      </c>
      <c r="R1" s="3" t="s">
        <v>204</v>
      </c>
      <c r="S1" s="3" t="s">
        <v>205</v>
      </c>
      <c r="T1" s="4" t="s">
        <v>206</v>
      </c>
    </row>
    <row r="2" spans="1:20" outlineLevel="2" x14ac:dyDescent="0.2">
      <c r="A2" s="7" t="s">
        <v>107</v>
      </c>
      <c r="B2" s="8" t="s">
        <v>108</v>
      </c>
      <c r="C2" s="9">
        <v>157.08699999999999</v>
      </c>
      <c r="D2" s="9">
        <v>18780.38</v>
      </c>
      <c r="E2" s="8">
        <v>458</v>
      </c>
      <c r="F2" s="8">
        <v>0</v>
      </c>
      <c r="G2" s="9">
        <v>0</v>
      </c>
      <c r="H2" s="8" t="s">
        <v>27</v>
      </c>
      <c r="I2" s="10" t="s">
        <v>218</v>
      </c>
      <c r="J2" s="10" t="s">
        <v>208</v>
      </c>
      <c r="K2" s="10">
        <v>0.8</v>
      </c>
      <c r="L2" s="11">
        <f>K2*C2</f>
        <v>125.6696</v>
      </c>
      <c r="M2" s="10"/>
      <c r="N2" s="11">
        <f>M2*C2</f>
        <v>0</v>
      </c>
      <c r="O2" s="10"/>
      <c r="P2" s="11">
        <f>O2*C2</f>
        <v>0</v>
      </c>
      <c r="Q2" s="10"/>
      <c r="R2" s="11">
        <f>Q2*C2</f>
        <v>0</v>
      </c>
      <c r="S2" s="10">
        <v>0.2</v>
      </c>
      <c r="T2" s="11">
        <f>S2*C2</f>
        <v>31.417400000000001</v>
      </c>
    </row>
    <row r="3" spans="1:20" outlineLevel="2" x14ac:dyDescent="0.2">
      <c r="A3" s="7" t="s">
        <v>59</v>
      </c>
      <c r="B3" s="8" t="s">
        <v>60</v>
      </c>
      <c r="C3" s="9">
        <v>343.108</v>
      </c>
      <c r="D3" s="9">
        <v>41670.550000000003</v>
      </c>
      <c r="E3" s="8">
        <v>1593</v>
      </c>
      <c r="F3" s="8">
        <v>0</v>
      </c>
      <c r="G3" s="9">
        <v>0</v>
      </c>
      <c r="H3" s="8" t="s">
        <v>27</v>
      </c>
      <c r="I3" s="10" t="s">
        <v>218</v>
      </c>
      <c r="J3" s="10" t="s">
        <v>208</v>
      </c>
      <c r="K3" s="10">
        <v>0.8</v>
      </c>
      <c r="L3" s="11">
        <f>K3*C3</f>
        <v>274.4864</v>
      </c>
      <c r="M3" s="10"/>
      <c r="N3" s="11">
        <f>M3*C3</f>
        <v>0</v>
      </c>
      <c r="O3" s="10"/>
      <c r="P3" s="11">
        <f>O3*C3</f>
        <v>0</v>
      </c>
      <c r="Q3" s="10"/>
      <c r="R3" s="11">
        <f>Q3*C3</f>
        <v>0</v>
      </c>
      <c r="S3" s="10">
        <v>0.2</v>
      </c>
      <c r="T3" s="11">
        <f>S3*C3</f>
        <v>68.621600000000001</v>
      </c>
    </row>
    <row r="4" spans="1:20" outlineLevel="2" x14ac:dyDescent="0.2">
      <c r="A4" s="7" t="s">
        <v>25</v>
      </c>
      <c r="B4" s="8" t="s">
        <v>26</v>
      </c>
      <c r="C4" s="9">
        <v>1022.524</v>
      </c>
      <c r="D4" s="9">
        <v>106346.62</v>
      </c>
      <c r="E4" s="8">
        <v>2956</v>
      </c>
      <c r="F4" s="8">
        <v>0</v>
      </c>
      <c r="G4" s="9">
        <v>0</v>
      </c>
      <c r="H4" s="8" t="s">
        <v>27</v>
      </c>
      <c r="I4" s="10" t="s">
        <v>218</v>
      </c>
      <c r="J4" s="10" t="s">
        <v>208</v>
      </c>
      <c r="K4" s="10">
        <v>0.8</v>
      </c>
      <c r="L4" s="11">
        <f>K4*C4</f>
        <v>818.01920000000007</v>
      </c>
      <c r="M4" s="10"/>
      <c r="N4" s="11">
        <f>M4*C4</f>
        <v>0</v>
      </c>
      <c r="O4" s="10"/>
      <c r="P4" s="11">
        <f>O4*C4</f>
        <v>0</v>
      </c>
      <c r="Q4" s="10"/>
      <c r="R4" s="11">
        <f>Q4*C4</f>
        <v>0</v>
      </c>
      <c r="S4" s="10">
        <v>0.2</v>
      </c>
      <c r="T4" s="11">
        <f>S4*C4</f>
        <v>204.50480000000002</v>
      </c>
    </row>
    <row r="5" spans="1:20" outlineLevel="1" x14ac:dyDescent="0.2">
      <c r="A5" s="7"/>
      <c r="B5" s="8"/>
      <c r="C5" s="9"/>
      <c r="D5" s="9"/>
      <c r="E5" s="8"/>
      <c r="F5" s="8"/>
      <c r="G5" s="9"/>
      <c r="H5" s="8"/>
      <c r="I5" s="12" t="s">
        <v>225</v>
      </c>
      <c r="J5" s="10"/>
      <c r="K5" s="10"/>
      <c r="L5" s="17">
        <f>SUBTOTAL(9,L2:L4)</f>
        <v>1218.1752000000001</v>
      </c>
      <c r="M5" s="10"/>
      <c r="N5" s="11">
        <f>SUBTOTAL(9,N2:N4)</f>
        <v>0</v>
      </c>
      <c r="O5" s="10"/>
      <c r="P5" s="11"/>
      <c r="Q5" s="10"/>
      <c r="R5" s="11"/>
      <c r="S5" s="10"/>
      <c r="T5" s="11"/>
    </row>
    <row r="6" spans="1:20" outlineLevel="2" x14ac:dyDescent="0.2">
      <c r="A6" s="7" t="s">
        <v>83</v>
      </c>
      <c r="B6" s="8" t="s">
        <v>84</v>
      </c>
      <c r="C6" s="9">
        <v>241.56</v>
      </c>
      <c r="D6" s="9">
        <v>19654.37</v>
      </c>
      <c r="E6" s="8">
        <v>1028</v>
      </c>
      <c r="F6" s="8">
        <v>0</v>
      </c>
      <c r="G6" s="9">
        <v>0</v>
      </c>
      <c r="H6" s="8" t="s">
        <v>85</v>
      </c>
      <c r="I6" s="10" t="s">
        <v>217</v>
      </c>
      <c r="J6" s="10" t="s">
        <v>208</v>
      </c>
      <c r="K6" s="10">
        <v>0.6</v>
      </c>
      <c r="L6" s="11">
        <f>K6*C6</f>
        <v>144.93600000000001</v>
      </c>
      <c r="M6" s="10">
        <v>0.1</v>
      </c>
      <c r="N6" s="11">
        <f>M6*C6</f>
        <v>24.156000000000002</v>
      </c>
      <c r="O6" s="10"/>
      <c r="P6" s="11">
        <f>O6*C6</f>
        <v>0</v>
      </c>
      <c r="Q6" s="10"/>
      <c r="R6" s="11">
        <f>Q6*C6</f>
        <v>0</v>
      </c>
      <c r="S6" s="10">
        <v>0.3</v>
      </c>
      <c r="T6" s="11">
        <f>S6*C6</f>
        <v>72.468000000000004</v>
      </c>
    </row>
    <row r="7" spans="1:20" outlineLevel="1" x14ac:dyDescent="0.2">
      <c r="A7" s="7"/>
      <c r="B7" s="8"/>
      <c r="C7" s="9"/>
      <c r="D7" s="9"/>
      <c r="E7" s="8"/>
      <c r="F7" s="8"/>
      <c r="G7" s="9"/>
      <c r="H7" s="8"/>
      <c r="I7" s="12" t="s">
        <v>226</v>
      </c>
      <c r="J7" s="10"/>
      <c r="K7" s="10"/>
      <c r="L7" s="17">
        <f>SUBTOTAL(9,L6:L6)</f>
        <v>144.93600000000001</v>
      </c>
      <c r="M7" s="10"/>
      <c r="N7" s="17">
        <f>SUBTOTAL(9,N6:N6)</f>
        <v>24.156000000000002</v>
      </c>
      <c r="O7" s="10"/>
      <c r="P7" s="11"/>
      <c r="Q7" s="10"/>
      <c r="R7" s="11"/>
      <c r="S7" s="10"/>
      <c r="T7" s="11"/>
    </row>
    <row r="8" spans="1:20" outlineLevel="2" x14ac:dyDescent="0.2">
      <c r="A8" s="7" t="s">
        <v>28</v>
      </c>
      <c r="B8" s="8" t="s">
        <v>29</v>
      </c>
      <c r="C8" s="9">
        <v>976.32</v>
      </c>
      <c r="D8" s="9">
        <v>122256.44</v>
      </c>
      <c r="E8" s="8">
        <v>8959</v>
      </c>
      <c r="F8" s="8">
        <v>2</v>
      </c>
      <c r="G8" s="9">
        <v>0</v>
      </c>
      <c r="H8" s="8" t="s">
        <v>16</v>
      </c>
      <c r="I8" s="10" t="s">
        <v>211</v>
      </c>
      <c r="J8" s="10" t="s">
        <v>208</v>
      </c>
      <c r="K8" s="10">
        <v>0.6</v>
      </c>
      <c r="L8" s="11">
        <f t="shared" ref="L8:L16" si="0">K8*C8</f>
        <v>585.79200000000003</v>
      </c>
      <c r="M8" s="10"/>
      <c r="N8" s="11">
        <f t="shared" ref="N8:N16" si="1">M8*C8</f>
        <v>0</v>
      </c>
      <c r="O8" s="10"/>
      <c r="P8" s="11">
        <f t="shared" ref="P8:P16" si="2">O8*C8</f>
        <v>0</v>
      </c>
      <c r="Q8" s="10"/>
      <c r="R8" s="11">
        <f t="shared" ref="R8:R16" si="3">Q8*C8</f>
        <v>0</v>
      </c>
      <c r="S8" s="10">
        <v>0.4</v>
      </c>
      <c r="T8" s="11">
        <f t="shared" ref="T8:T16" si="4">S8*C8</f>
        <v>390.52800000000002</v>
      </c>
    </row>
    <row r="9" spans="1:20" outlineLevel="2" x14ac:dyDescent="0.2">
      <c r="A9" s="7" t="s">
        <v>156</v>
      </c>
      <c r="B9" s="8" t="s">
        <v>157</v>
      </c>
      <c r="C9" s="9">
        <v>21.56</v>
      </c>
      <c r="D9" s="9">
        <v>993</v>
      </c>
      <c r="E9" s="8">
        <v>203</v>
      </c>
      <c r="F9" s="8">
        <v>0</v>
      </c>
      <c r="G9" s="9">
        <v>0</v>
      </c>
      <c r="H9" s="8" t="s">
        <v>16</v>
      </c>
      <c r="I9" s="10" t="s">
        <v>211</v>
      </c>
      <c r="J9" s="10" t="s">
        <v>208</v>
      </c>
      <c r="K9" s="10">
        <v>0.8</v>
      </c>
      <c r="L9" s="11">
        <f t="shared" si="0"/>
        <v>17.248000000000001</v>
      </c>
      <c r="M9" s="10"/>
      <c r="N9" s="11">
        <f t="shared" si="1"/>
        <v>0</v>
      </c>
      <c r="O9" s="10"/>
      <c r="P9" s="11">
        <f t="shared" si="2"/>
        <v>0</v>
      </c>
      <c r="Q9" s="10"/>
      <c r="R9" s="11">
        <f t="shared" si="3"/>
        <v>0</v>
      </c>
      <c r="S9" s="10">
        <v>0.2</v>
      </c>
      <c r="T9" s="11">
        <f t="shared" si="4"/>
        <v>4.3120000000000003</v>
      </c>
    </row>
    <row r="10" spans="1:20" outlineLevel="2" x14ac:dyDescent="0.2">
      <c r="A10" s="7" t="s">
        <v>14</v>
      </c>
      <c r="B10" s="8" t="s">
        <v>15</v>
      </c>
      <c r="C10" s="9">
        <v>2183.5320999999999</v>
      </c>
      <c r="D10" s="9">
        <v>321300.74</v>
      </c>
      <c r="E10" s="8">
        <v>5125</v>
      </c>
      <c r="F10" s="8">
        <v>0</v>
      </c>
      <c r="G10" s="9">
        <v>0</v>
      </c>
      <c r="H10" s="8" t="s">
        <v>16</v>
      </c>
      <c r="I10" s="10" t="s">
        <v>211</v>
      </c>
      <c r="J10" s="10" t="s">
        <v>208</v>
      </c>
      <c r="K10" s="10">
        <v>0.6</v>
      </c>
      <c r="L10" s="11">
        <f t="shared" si="0"/>
        <v>1310.1192599999999</v>
      </c>
      <c r="M10" s="10"/>
      <c r="N10" s="11">
        <f t="shared" si="1"/>
        <v>0</v>
      </c>
      <c r="O10" s="10"/>
      <c r="P10" s="11">
        <f t="shared" si="2"/>
        <v>0</v>
      </c>
      <c r="Q10" s="10"/>
      <c r="R10" s="11">
        <f t="shared" si="3"/>
        <v>0</v>
      </c>
      <c r="S10" s="10">
        <v>0.4</v>
      </c>
      <c r="T10" s="11">
        <f t="shared" si="4"/>
        <v>873.41283999999996</v>
      </c>
    </row>
    <row r="11" spans="1:20" outlineLevel="2" x14ac:dyDescent="0.2">
      <c r="A11" s="7" t="s">
        <v>126</v>
      </c>
      <c r="B11" s="8" t="s">
        <v>127</v>
      </c>
      <c r="C11" s="9">
        <v>81.816000000000003</v>
      </c>
      <c r="D11" s="9">
        <v>8313.6200000000008</v>
      </c>
      <c r="E11" s="8">
        <v>261</v>
      </c>
      <c r="F11" s="8">
        <v>0</v>
      </c>
      <c r="G11" s="9">
        <v>0</v>
      </c>
      <c r="H11" s="8" t="s">
        <v>16</v>
      </c>
      <c r="I11" s="10" t="s">
        <v>211</v>
      </c>
      <c r="J11" s="10" t="s">
        <v>208</v>
      </c>
      <c r="K11" s="10">
        <v>0.6</v>
      </c>
      <c r="L11" s="11">
        <f t="shared" si="0"/>
        <v>49.089599999999997</v>
      </c>
      <c r="M11" s="10"/>
      <c r="N11" s="11">
        <f t="shared" si="1"/>
        <v>0</v>
      </c>
      <c r="O11" s="10"/>
      <c r="P11" s="11">
        <f t="shared" si="2"/>
        <v>0</v>
      </c>
      <c r="Q11" s="10"/>
      <c r="R11" s="11">
        <f t="shared" si="3"/>
        <v>0</v>
      </c>
      <c r="S11" s="10">
        <v>0.4</v>
      </c>
      <c r="T11" s="11">
        <f t="shared" si="4"/>
        <v>32.726400000000005</v>
      </c>
    </row>
    <row r="12" spans="1:20" outlineLevel="2" x14ac:dyDescent="0.2">
      <c r="A12" s="7" t="s">
        <v>178</v>
      </c>
      <c r="B12" s="8" t="s">
        <v>179</v>
      </c>
      <c r="C12" s="9">
        <v>-0.84399999999999997</v>
      </c>
      <c r="D12" s="9">
        <v>0.01</v>
      </c>
      <c r="E12" s="8">
        <v>1</v>
      </c>
      <c r="F12" s="8">
        <v>0</v>
      </c>
      <c r="G12" s="9">
        <v>0</v>
      </c>
      <c r="H12" s="8" t="s">
        <v>16</v>
      </c>
      <c r="I12" s="10" t="s">
        <v>211</v>
      </c>
      <c r="J12" s="10" t="s">
        <v>208</v>
      </c>
      <c r="K12" s="10">
        <v>0.8</v>
      </c>
      <c r="L12" s="11">
        <f t="shared" si="0"/>
        <v>-0.67520000000000002</v>
      </c>
      <c r="M12" s="10"/>
      <c r="N12" s="11">
        <f t="shared" si="1"/>
        <v>0</v>
      </c>
      <c r="O12" s="10"/>
      <c r="P12" s="11">
        <f t="shared" si="2"/>
        <v>0</v>
      </c>
      <c r="Q12" s="10"/>
      <c r="R12" s="11">
        <f t="shared" si="3"/>
        <v>0</v>
      </c>
      <c r="S12" s="10">
        <v>0.2</v>
      </c>
      <c r="T12" s="11">
        <f t="shared" si="4"/>
        <v>-0.16880000000000001</v>
      </c>
    </row>
    <row r="13" spans="1:20" outlineLevel="2" x14ac:dyDescent="0.2">
      <c r="A13" s="7" t="s">
        <v>63</v>
      </c>
      <c r="B13" s="8" t="s">
        <v>64</v>
      </c>
      <c r="C13" s="9">
        <v>310.28199999999998</v>
      </c>
      <c r="D13" s="9">
        <v>25975</v>
      </c>
      <c r="E13" s="8">
        <v>2064</v>
      </c>
      <c r="F13" s="8">
        <v>0</v>
      </c>
      <c r="G13" s="9">
        <v>0</v>
      </c>
      <c r="H13" s="8" t="s">
        <v>16</v>
      </c>
      <c r="I13" s="10" t="s">
        <v>211</v>
      </c>
      <c r="J13" s="10" t="s">
        <v>208</v>
      </c>
      <c r="K13" s="10">
        <v>0.6</v>
      </c>
      <c r="L13" s="11">
        <f t="shared" si="0"/>
        <v>186.16919999999999</v>
      </c>
      <c r="M13" s="10"/>
      <c r="N13" s="11">
        <f t="shared" si="1"/>
        <v>0</v>
      </c>
      <c r="O13" s="10"/>
      <c r="P13" s="11">
        <f t="shared" si="2"/>
        <v>0</v>
      </c>
      <c r="Q13" s="10"/>
      <c r="R13" s="11">
        <f t="shared" si="3"/>
        <v>0</v>
      </c>
      <c r="S13" s="10">
        <v>0.4</v>
      </c>
      <c r="T13" s="11">
        <f t="shared" si="4"/>
        <v>124.11279999999999</v>
      </c>
    </row>
    <row r="14" spans="1:20" outlineLevel="2" x14ac:dyDescent="0.2">
      <c r="A14" s="7" t="s">
        <v>101</v>
      </c>
      <c r="B14" s="8" t="s">
        <v>102</v>
      </c>
      <c r="C14" s="9">
        <v>183.096</v>
      </c>
      <c r="D14" s="9">
        <v>18748.740000000002</v>
      </c>
      <c r="E14" s="8">
        <v>1045</v>
      </c>
      <c r="F14" s="8">
        <v>0</v>
      </c>
      <c r="G14" s="9">
        <v>0</v>
      </c>
      <c r="H14" s="8" t="s">
        <v>16</v>
      </c>
      <c r="I14" s="10" t="s">
        <v>211</v>
      </c>
      <c r="J14" s="10" t="s">
        <v>208</v>
      </c>
      <c r="K14" s="10">
        <v>0.6</v>
      </c>
      <c r="L14" s="11">
        <f t="shared" si="0"/>
        <v>109.85760000000001</v>
      </c>
      <c r="M14" s="10"/>
      <c r="N14" s="11">
        <f t="shared" si="1"/>
        <v>0</v>
      </c>
      <c r="O14" s="10"/>
      <c r="P14" s="11">
        <f t="shared" si="2"/>
        <v>0</v>
      </c>
      <c r="Q14" s="10"/>
      <c r="R14" s="11">
        <f t="shared" si="3"/>
        <v>0</v>
      </c>
      <c r="S14" s="10">
        <v>0.4</v>
      </c>
      <c r="T14" s="11">
        <f t="shared" si="4"/>
        <v>73.238399999999999</v>
      </c>
    </row>
    <row r="15" spans="1:20" outlineLevel="2" x14ac:dyDescent="0.2">
      <c r="A15" s="7" t="s">
        <v>79</v>
      </c>
      <c r="B15" s="8" t="s">
        <v>80</v>
      </c>
      <c r="C15" s="9">
        <v>263.32799999999997</v>
      </c>
      <c r="D15" s="9">
        <v>34475.480000000003</v>
      </c>
      <c r="E15" s="8">
        <v>1102</v>
      </c>
      <c r="F15" s="8">
        <v>0</v>
      </c>
      <c r="G15" s="9">
        <v>0</v>
      </c>
      <c r="H15" s="8" t="s">
        <v>16</v>
      </c>
      <c r="I15" s="10" t="s">
        <v>211</v>
      </c>
      <c r="J15" s="10" t="s">
        <v>208</v>
      </c>
      <c r="K15" s="10">
        <v>0.8</v>
      </c>
      <c r="L15" s="11">
        <f t="shared" si="0"/>
        <v>210.66239999999999</v>
      </c>
      <c r="M15" s="10"/>
      <c r="N15" s="11">
        <f t="shared" si="1"/>
        <v>0</v>
      </c>
      <c r="O15" s="10"/>
      <c r="P15" s="11">
        <f t="shared" si="2"/>
        <v>0</v>
      </c>
      <c r="Q15" s="10"/>
      <c r="R15" s="11">
        <f t="shared" si="3"/>
        <v>0</v>
      </c>
      <c r="S15" s="10">
        <v>0.2</v>
      </c>
      <c r="T15" s="11">
        <f t="shared" si="4"/>
        <v>52.665599999999998</v>
      </c>
    </row>
    <row r="16" spans="1:20" outlineLevel="2" x14ac:dyDescent="0.2">
      <c r="A16" s="7" t="s">
        <v>121</v>
      </c>
      <c r="B16" s="8" t="s">
        <v>122</v>
      </c>
      <c r="C16" s="9">
        <v>105.468</v>
      </c>
      <c r="D16" s="9">
        <v>13645.63</v>
      </c>
      <c r="E16" s="8">
        <v>502</v>
      </c>
      <c r="F16" s="8">
        <v>0</v>
      </c>
      <c r="G16" s="9">
        <v>0</v>
      </c>
      <c r="H16" s="8" t="s">
        <v>16</v>
      </c>
      <c r="I16" s="10" t="s">
        <v>211</v>
      </c>
      <c r="J16" s="10" t="s">
        <v>208</v>
      </c>
      <c r="K16" s="10">
        <v>0.8</v>
      </c>
      <c r="L16" s="11">
        <f t="shared" si="0"/>
        <v>84.374400000000009</v>
      </c>
      <c r="M16" s="10"/>
      <c r="N16" s="11">
        <f t="shared" si="1"/>
        <v>0</v>
      </c>
      <c r="O16" s="10"/>
      <c r="P16" s="11">
        <f t="shared" si="2"/>
        <v>0</v>
      </c>
      <c r="Q16" s="10"/>
      <c r="R16" s="11">
        <f t="shared" si="3"/>
        <v>0</v>
      </c>
      <c r="S16" s="10">
        <v>0.2</v>
      </c>
      <c r="T16" s="11">
        <f t="shared" si="4"/>
        <v>21.093600000000002</v>
      </c>
    </row>
    <row r="17" spans="1:20" outlineLevel="1" x14ac:dyDescent="0.2">
      <c r="A17" s="7"/>
      <c r="B17" s="8"/>
      <c r="C17" s="9"/>
      <c r="D17" s="9"/>
      <c r="E17" s="8"/>
      <c r="F17" s="8"/>
      <c r="G17" s="9"/>
      <c r="H17" s="8"/>
      <c r="I17" s="12" t="s">
        <v>227</v>
      </c>
      <c r="J17" s="10"/>
      <c r="K17" s="10"/>
      <c r="L17" s="17">
        <f>SUBTOTAL(9,L8:L16)</f>
        <v>2552.63726</v>
      </c>
      <c r="M17" s="10"/>
      <c r="N17" s="11">
        <f>SUBTOTAL(9,N8:N16)</f>
        <v>0</v>
      </c>
      <c r="O17" s="10"/>
      <c r="P17" s="11"/>
      <c r="Q17" s="10"/>
      <c r="R17" s="11"/>
      <c r="S17" s="10"/>
      <c r="T17" s="11"/>
    </row>
    <row r="18" spans="1:20" outlineLevel="2" x14ac:dyDescent="0.2">
      <c r="A18" s="7" t="s">
        <v>9</v>
      </c>
      <c r="B18" s="8" t="s">
        <v>10</v>
      </c>
      <c r="C18" s="9">
        <v>21031.028300000002</v>
      </c>
      <c r="D18" s="9">
        <v>2927380.98</v>
      </c>
      <c r="E18" s="8">
        <v>17158</v>
      </c>
      <c r="F18" s="8">
        <v>102</v>
      </c>
      <c r="G18" s="9">
        <v>0</v>
      </c>
      <c r="H18" s="8" t="s">
        <v>11</v>
      </c>
      <c r="I18" s="10" t="s">
        <v>216</v>
      </c>
      <c r="J18" s="10" t="s">
        <v>208</v>
      </c>
      <c r="K18" s="10"/>
      <c r="L18" s="11">
        <f t="shared" ref="L18:L26" si="5">K18*C18</f>
        <v>0</v>
      </c>
      <c r="M18" s="10"/>
      <c r="N18" s="11">
        <f t="shared" ref="N18:N26" si="6">M18*C18</f>
        <v>0</v>
      </c>
      <c r="O18" s="10"/>
      <c r="P18" s="11">
        <f t="shared" ref="P18:P26" si="7">O18*C18</f>
        <v>0</v>
      </c>
      <c r="Q18" s="10"/>
      <c r="R18" s="11">
        <f t="shared" ref="R18:R26" si="8">Q18*C18</f>
        <v>0</v>
      </c>
      <c r="S18" s="10">
        <v>1</v>
      </c>
      <c r="T18" s="11">
        <f t="shared" ref="T18:T26" si="9">S18*C18</f>
        <v>21031.028300000002</v>
      </c>
    </row>
    <row r="19" spans="1:20" outlineLevel="2" x14ac:dyDescent="0.2">
      <c r="A19" s="7" t="s">
        <v>105</v>
      </c>
      <c r="B19" s="8" t="s">
        <v>106</v>
      </c>
      <c r="C19" s="9">
        <v>161.28200000000001</v>
      </c>
      <c r="D19" s="9">
        <v>17510.97</v>
      </c>
      <c r="E19" s="8">
        <v>965</v>
      </c>
      <c r="F19" s="8">
        <v>0</v>
      </c>
      <c r="G19" s="9">
        <v>0</v>
      </c>
      <c r="H19" s="8" t="s">
        <v>11</v>
      </c>
      <c r="I19" s="10" t="s">
        <v>216</v>
      </c>
      <c r="J19" s="10" t="s">
        <v>208</v>
      </c>
      <c r="K19" s="10"/>
      <c r="L19" s="11">
        <f t="shared" si="5"/>
        <v>0</v>
      </c>
      <c r="M19" s="10"/>
      <c r="N19" s="11">
        <f t="shared" si="6"/>
        <v>0</v>
      </c>
      <c r="O19" s="10"/>
      <c r="P19" s="11">
        <f t="shared" si="7"/>
        <v>0</v>
      </c>
      <c r="Q19" s="10"/>
      <c r="R19" s="11">
        <f t="shared" si="8"/>
        <v>0</v>
      </c>
      <c r="S19" s="10">
        <v>1</v>
      </c>
      <c r="T19" s="11">
        <f t="shared" si="9"/>
        <v>161.28200000000001</v>
      </c>
    </row>
    <row r="20" spans="1:20" outlineLevel="2" x14ac:dyDescent="0.2">
      <c r="A20" s="7" t="s">
        <v>49</v>
      </c>
      <c r="B20" s="8" t="s">
        <v>50</v>
      </c>
      <c r="C20" s="9">
        <v>547.60599999999999</v>
      </c>
      <c r="D20" s="9">
        <v>66861.25</v>
      </c>
      <c r="E20" s="8">
        <v>1543</v>
      </c>
      <c r="F20" s="8">
        <v>0</v>
      </c>
      <c r="G20" s="9">
        <v>0</v>
      </c>
      <c r="H20" s="8" t="s">
        <v>11</v>
      </c>
      <c r="I20" s="10" t="s">
        <v>216</v>
      </c>
      <c r="J20" s="10" t="s">
        <v>208</v>
      </c>
      <c r="K20" s="10"/>
      <c r="L20" s="11">
        <f t="shared" si="5"/>
        <v>0</v>
      </c>
      <c r="M20" s="10"/>
      <c r="N20" s="11">
        <f t="shared" si="6"/>
        <v>0</v>
      </c>
      <c r="O20" s="10"/>
      <c r="P20" s="11">
        <f t="shared" si="7"/>
        <v>0</v>
      </c>
      <c r="Q20" s="10"/>
      <c r="R20" s="11">
        <f t="shared" si="8"/>
        <v>0</v>
      </c>
      <c r="S20" s="10">
        <v>1</v>
      </c>
      <c r="T20" s="11">
        <f t="shared" si="9"/>
        <v>547.60599999999999</v>
      </c>
    </row>
    <row r="21" spans="1:20" outlineLevel="2" x14ac:dyDescent="0.2">
      <c r="A21" s="7" t="s">
        <v>140</v>
      </c>
      <c r="B21" s="8" t="s">
        <v>141</v>
      </c>
      <c r="C21" s="9">
        <v>54.798000000000002</v>
      </c>
      <c r="D21" s="9">
        <v>7771.96</v>
      </c>
      <c r="E21" s="8">
        <v>266</v>
      </c>
      <c r="F21" s="8">
        <v>0</v>
      </c>
      <c r="G21" s="9">
        <v>0</v>
      </c>
      <c r="H21" s="8" t="s">
        <v>11</v>
      </c>
      <c r="I21" s="10" t="s">
        <v>216</v>
      </c>
      <c r="J21" s="10" t="s">
        <v>208</v>
      </c>
      <c r="K21" s="10"/>
      <c r="L21" s="11">
        <f t="shared" si="5"/>
        <v>0</v>
      </c>
      <c r="M21" s="10"/>
      <c r="N21" s="11">
        <f t="shared" si="6"/>
        <v>0</v>
      </c>
      <c r="O21" s="10"/>
      <c r="P21" s="11">
        <f t="shared" si="7"/>
        <v>0</v>
      </c>
      <c r="Q21" s="10"/>
      <c r="R21" s="11">
        <f t="shared" si="8"/>
        <v>0</v>
      </c>
      <c r="S21" s="10">
        <v>1</v>
      </c>
      <c r="T21" s="11">
        <f t="shared" si="9"/>
        <v>54.798000000000002</v>
      </c>
    </row>
    <row r="22" spans="1:20" outlineLevel="2" x14ac:dyDescent="0.2">
      <c r="A22" s="7" t="s">
        <v>30</v>
      </c>
      <c r="B22" s="8" t="s">
        <v>31</v>
      </c>
      <c r="C22" s="9">
        <v>976.06</v>
      </c>
      <c r="D22" s="9">
        <v>332157.23</v>
      </c>
      <c r="E22" s="8">
        <v>525</v>
      </c>
      <c r="F22" s="8">
        <v>9</v>
      </c>
      <c r="G22" s="9">
        <v>0</v>
      </c>
      <c r="H22" s="8" t="s">
        <v>11</v>
      </c>
      <c r="I22" s="10" t="s">
        <v>216</v>
      </c>
      <c r="J22" s="10" t="s">
        <v>208</v>
      </c>
      <c r="K22" s="10">
        <v>0</v>
      </c>
      <c r="L22" s="11">
        <f t="shared" si="5"/>
        <v>0</v>
      </c>
      <c r="M22" s="10">
        <v>0</v>
      </c>
      <c r="N22" s="11">
        <f t="shared" si="6"/>
        <v>0</v>
      </c>
      <c r="O22" s="10"/>
      <c r="P22" s="11">
        <f t="shared" si="7"/>
        <v>0</v>
      </c>
      <c r="Q22" s="10"/>
      <c r="R22" s="11">
        <f t="shared" si="8"/>
        <v>0</v>
      </c>
      <c r="S22" s="10">
        <v>1</v>
      </c>
      <c r="T22" s="11">
        <f t="shared" si="9"/>
        <v>976.06</v>
      </c>
    </row>
    <row r="23" spans="1:20" outlineLevel="2" x14ac:dyDescent="0.2">
      <c r="A23" s="7" t="s">
        <v>12</v>
      </c>
      <c r="B23" s="8" t="s">
        <v>13</v>
      </c>
      <c r="C23" s="9">
        <v>2850.9949999999999</v>
      </c>
      <c r="D23" s="9">
        <v>979620.75</v>
      </c>
      <c r="E23" s="8">
        <v>1449</v>
      </c>
      <c r="F23" s="8">
        <v>10</v>
      </c>
      <c r="G23" s="9">
        <v>0</v>
      </c>
      <c r="H23" s="8" t="s">
        <v>11</v>
      </c>
      <c r="I23" s="10" t="s">
        <v>216</v>
      </c>
      <c r="J23" s="10" t="s">
        <v>208</v>
      </c>
      <c r="K23" s="10">
        <v>0</v>
      </c>
      <c r="L23" s="11">
        <f t="shared" si="5"/>
        <v>0</v>
      </c>
      <c r="M23" s="10">
        <v>0</v>
      </c>
      <c r="N23" s="11">
        <f t="shared" si="6"/>
        <v>0</v>
      </c>
      <c r="O23" s="10"/>
      <c r="P23" s="11">
        <f t="shared" si="7"/>
        <v>0</v>
      </c>
      <c r="Q23" s="10"/>
      <c r="R23" s="11">
        <f t="shared" si="8"/>
        <v>0</v>
      </c>
      <c r="S23" s="10">
        <v>1</v>
      </c>
      <c r="T23" s="11">
        <f t="shared" si="9"/>
        <v>2850.9949999999999</v>
      </c>
    </row>
    <row r="24" spans="1:20" outlineLevel="2" x14ac:dyDescent="0.2">
      <c r="A24" s="7" t="s">
        <v>88</v>
      </c>
      <c r="B24" s="8" t="s">
        <v>89</v>
      </c>
      <c r="C24" s="9">
        <v>229.22200000000001</v>
      </c>
      <c r="D24" s="9">
        <v>21313.58</v>
      </c>
      <c r="E24" s="8">
        <v>719</v>
      </c>
      <c r="F24" s="8">
        <v>0</v>
      </c>
      <c r="G24" s="9">
        <v>0</v>
      </c>
      <c r="H24" s="8" t="s">
        <v>48</v>
      </c>
      <c r="I24" s="10" t="s">
        <v>216</v>
      </c>
      <c r="J24" s="10" t="s">
        <v>208</v>
      </c>
      <c r="K24" s="10">
        <v>0</v>
      </c>
      <c r="L24" s="11">
        <f t="shared" si="5"/>
        <v>0</v>
      </c>
      <c r="M24" s="10">
        <v>0</v>
      </c>
      <c r="N24" s="11">
        <f t="shared" si="6"/>
        <v>0</v>
      </c>
      <c r="O24" s="10"/>
      <c r="P24" s="11">
        <f t="shared" si="7"/>
        <v>0</v>
      </c>
      <c r="Q24" s="10"/>
      <c r="R24" s="11">
        <f t="shared" si="8"/>
        <v>0</v>
      </c>
      <c r="S24" s="10">
        <v>1</v>
      </c>
      <c r="T24" s="11">
        <f t="shared" si="9"/>
        <v>229.22200000000001</v>
      </c>
    </row>
    <row r="25" spans="1:20" outlineLevel="2" x14ac:dyDescent="0.2">
      <c r="A25" s="7" t="s">
        <v>132</v>
      </c>
      <c r="B25" s="8" t="s">
        <v>133</v>
      </c>
      <c r="C25" s="9">
        <v>68.308000000000007</v>
      </c>
      <c r="D25" s="9">
        <v>6393.28</v>
      </c>
      <c r="E25" s="8">
        <v>303</v>
      </c>
      <c r="F25" s="8">
        <v>0</v>
      </c>
      <c r="G25" s="9">
        <v>0</v>
      </c>
      <c r="H25" s="8" t="s">
        <v>11</v>
      </c>
      <c r="I25" s="10" t="s">
        <v>216</v>
      </c>
      <c r="J25" s="10" t="s">
        <v>208</v>
      </c>
      <c r="K25" s="10"/>
      <c r="L25" s="11">
        <f t="shared" si="5"/>
        <v>0</v>
      </c>
      <c r="M25" s="10"/>
      <c r="N25" s="11">
        <f t="shared" si="6"/>
        <v>0</v>
      </c>
      <c r="O25" s="10"/>
      <c r="P25" s="11">
        <f t="shared" si="7"/>
        <v>0</v>
      </c>
      <c r="Q25" s="10"/>
      <c r="R25" s="11">
        <f t="shared" si="8"/>
        <v>0</v>
      </c>
      <c r="S25" s="10">
        <v>1</v>
      </c>
      <c r="T25" s="11">
        <f t="shared" si="9"/>
        <v>68.308000000000007</v>
      </c>
    </row>
    <row r="26" spans="1:20" outlineLevel="2" x14ac:dyDescent="0.2">
      <c r="A26" s="7" t="s">
        <v>134</v>
      </c>
      <c r="B26" s="8" t="s">
        <v>135</v>
      </c>
      <c r="C26" s="9">
        <v>66.058000000000007</v>
      </c>
      <c r="D26" s="9">
        <v>5548.13</v>
      </c>
      <c r="E26" s="8">
        <v>389</v>
      </c>
      <c r="F26" s="8">
        <v>0</v>
      </c>
      <c r="G26" s="9">
        <v>0</v>
      </c>
      <c r="H26" s="8" t="s">
        <v>11</v>
      </c>
      <c r="I26" s="10" t="s">
        <v>216</v>
      </c>
      <c r="J26" s="10" t="s">
        <v>208</v>
      </c>
      <c r="K26" s="10"/>
      <c r="L26" s="11">
        <f t="shared" si="5"/>
        <v>0</v>
      </c>
      <c r="M26" s="10"/>
      <c r="N26" s="11">
        <f t="shared" si="6"/>
        <v>0</v>
      </c>
      <c r="O26" s="10"/>
      <c r="P26" s="11">
        <f t="shared" si="7"/>
        <v>0</v>
      </c>
      <c r="Q26" s="10"/>
      <c r="R26" s="11">
        <f t="shared" si="8"/>
        <v>0</v>
      </c>
      <c r="S26" s="10">
        <v>1</v>
      </c>
      <c r="T26" s="11">
        <f t="shared" si="9"/>
        <v>66.058000000000007</v>
      </c>
    </row>
    <row r="27" spans="1:20" outlineLevel="1" x14ac:dyDescent="0.2">
      <c r="A27" s="7"/>
      <c r="B27" s="8"/>
      <c r="C27" s="9"/>
      <c r="D27" s="9"/>
      <c r="E27" s="8"/>
      <c r="F27" s="8"/>
      <c r="G27" s="9"/>
      <c r="H27" s="8"/>
      <c r="I27" s="12" t="s">
        <v>228</v>
      </c>
      <c r="J27" s="10"/>
      <c r="K27" s="10"/>
      <c r="L27" s="11">
        <f>SUBTOTAL(9,L18:L26)</f>
        <v>0</v>
      </c>
      <c r="M27" s="10"/>
      <c r="N27" s="11">
        <f>SUBTOTAL(9,N18:N26)</f>
        <v>0</v>
      </c>
      <c r="O27" s="10"/>
      <c r="P27" s="11"/>
      <c r="Q27" s="10"/>
      <c r="R27" s="11"/>
      <c r="S27" s="10"/>
      <c r="T27" s="11"/>
    </row>
    <row r="28" spans="1:20" outlineLevel="2" x14ac:dyDescent="0.2">
      <c r="A28" s="7" t="s">
        <v>164</v>
      </c>
      <c r="B28" s="8" t="s">
        <v>165</v>
      </c>
      <c r="C28" s="9">
        <v>14.4375</v>
      </c>
      <c r="D28" s="9">
        <v>0</v>
      </c>
      <c r="E28" s="8">
        <v>0</v>
      </c>
      <c r="F28" s="8">
        <v>0</v>
      </c>
      <c r="G28" s="9">
        <v>0</v>
      </c>
      <c r="H28" s="8" t="s">
        <v>34</v>
      </c>
      <c r="I28" s="10" t="s">
        <v>212</v>
      </c>
      <c r="J28" s="10" t="s">
        <v>210</v>
      </c>
      <c r="K28" s="10">
        <v>0.4</v>
      </c>
      <c r="L28" s="11">
        <f t="shared" ref="L28:L46" si="10">K28*C28</f>
        <v>5.7750000000000004</v>
      </c>
      <c r="M28" s="10"/>
      <c r="N28" s="11">
        <f t="shared" ref="N28:N46" si="11">M28*C28</f>
        <v>0</v>
      </c>
      <c r="O28" s="10">
        <v>0.35</v>
      </c>
      <c r="P28" s="11">
        <f t="shared" ref="P28:P46" si="12">O28*C28</f>
        <v>5.0531249999999996</v>
      </c>
      <c r="Q28" s="10">
        <v>0.25</v>
      </c>
      <c r="R28" s="11">
        <f t="shared" ref="R28:R46" si="13">Q28*C28</f>
        <v>3.609375</v>
      </c>
      <c r="S28" s="10"/>
      <c r="T28" s="11">
        <f t="shared" ref="T28:T46" si="14">S28*C28</f>
        <v>0</v>
      </c>
    </row>
    <row r="29" spans="1:20" outlineLevel="2" x14ac:dyDescent="0.2">
      <c r="A29" s="7" t="s">
        <v>168</v>
      </c>
      <c r="B29" s="8" t="s">
        <v>169</v>
      </c>
      <c r="C29" s="9">
        <v>11.4</v>
      </c>
      <c r="D29" s="9">
        <v>0</v>
      </c>
      <c r="E29" s="8">
        <v>0</v>
      </c>
      <c r="F29" s="8">
        <v>0</v>
      </c>
      <c r="G29" s="9">
        <v>0</v>
      </c>
      <c r="H29" s="8" t="s">
        <v>34</v>
      </c>
      <c r="I29" s="10" t="s">
        <v>212</v>
      </c>
      <c r="J29" s="10" t="s">
        <v>210</v>
      </c>
      <c r="K29" s="10">
        <v>0.4</v>
      </c>
      <c r="L29" s="11">
        <f t="shared" si="10"/>
        <v>4.5600000000000005</v>
      </c>
      <c r="M29" s="10"/>
      <c r="N29" s="11">
        <f t="shared" si="11"/>
        <v>0</v>
      </c>
      <c r="O29" s="10">
        <v>0.35</v>
      </c>
      <c r="P29" s="11">
        <f t="shared" si="12"/>
        <v>3.9899999999999998</v>
      </c>
      <c r="Q29" s="10">
        <v>0.25</v>
      </c>
      <c r="R29" s="11">
        <f t="shared" si="13"/>
        <v>2.85</v>
      </c>
      <c r="S29" s="10"/>
      <c r="T29" s="11">
        <f t="shared" si="14"/>
        <v>0</v>
      </c>
    </row>
    <row r="30" spans="1:20" outlineLevel="2" x14ac:dyDescent="0.2">
      <c r="A30" s="7" t="s">
        <v>37</v>
      </c>
      <c r="B30" s="8" t="s">
        <v>38</v>
      </c>
      <c r="C30" s="9">
        <v>679.67200000000003</v>
      </c>
      <c r="D30" s="9">
        <v>48153.75</v>
      </c>
      <c r="E30" s="8">
        <v>929</v>
      </c>
      <c r="F30" s="8">
        <v>0</v>
      </c>
      <c r="G30" s="9">
        <v>0</v>
      </c>
      <c r="H30" s="8" t="s">
        <v>34</v>
      </c>
      <c r="I30" s="10" t="s">
        <v>212</v>
      </c>
      <c r="J30" s="10" t="s">
        <v>210</v>
      </c>
      <c r="K30" s="10">
        <v>0.4</v>
      </c>
      <c r="L30" s="11">
        <f t="shared" si="10"/>
        <v>271.86880000000002</v>
      </c>
      <c r="M30" s="10"/>
      <c r="N30" s="11">
        <f t="shared" si="11"/>
        <v>0</v>
      </c>
      <c r="O30" s="10">
        <v>0.35</v>
      </c>
      <c r="P30" s="11">
        <f t="shared" si="12"/>
        <v>237.8852</v>
      </c>
      <c r="Q30" s="10">
        <v>0.25</v>
      </c>
      <c r="R30" s="11">
        <f t="shared" si="13"/>
        <v>169.91800000000001</v>
      </c>
      <c r="S30" s="10"/>
      <c r="T30" s="11">
        <f t="shared" si="14"/>
        <v>0</v>
      </c>
    </row>
    <row r="31" spans="1:20" outlineLevel="2" x14ac:dyDescent="0.2">
      <c r="A31" s="7" t="s">
        <v>160</v>
      </c>
      <c r="B31" s="8" t="s">
        <v>161</v>
      </c>
      <c r="C31" s="9">
        <v>17.399999999999999</v>
      </c>
      <c r="D31" s="9">
        <v>0</v>
      </c>
      <c r="E31" s="8">
        <v>0</v>
      </c>
      <c r="F31" s="8">
        <v>0</v>
      </c>
      <c r="G31" s="9">
        <v>0</v>
      </c>
      <c r="H31" s="8" t="s">
        <v>34</v>
      </c>
      <c r="I31" s="10" t="s">
        <v>212</v>
      </c>
      <c r="J31" s="10" t="s">
        <v>210</v>
      </c>
      <c r="K31" s="10">
        <v>0.4</v>
      </c>
      <c r="L31" s="11">
        <f t="shared" si="10"/>
        <v>6.96</v>
      </c>
      <c r="M31" s="10"/>
      <c r="N31" s="11">
        <f t="shared" si="11"/>
        <v>0</v>
      </c>
      <c r="O31" s="10">
        <v>0.35</v>
      </c>
      <c r="P31" s="11">
        <f t="shared" si="12"/>
        <v>6.089999999999999</v>
      </c>
      <c r="Q31" s="10">
        <v>0.25</v>
      </c>
      <c r="R31" s="11">
        <f t="shared" si="13"/>
        <v>4.3499999999999996</v>
      </c>
      <c r="S31" s="10"/>
      <c r="T31" s="11">
        <f t="shared" si="14"/>
        <v>0</v>
      </c>
    </row>
    <row r="32" spans="1:20" outlineLevel="2" x14ac:dyDescent="0.2">
      <c r="A32" s="7" t="s">
        <v>162</v>
      </c>
      <c r="B32" s="8" t="s">
        <v>163</v>
      </c>
      <c r="C32" s="9">
        <v>17.399999999999999</v>
      </c>
      <c r="D32" s="9">
        <v>0</v>
      </c>
      <c r="E32" s="8">
        <v>0</v>
      </c>
      <c r="F32" s="8">
        <v>0</v>
      </c>
      <c r="G32" s="9">
        <v>0</v>
      </c>
      <c r="H32" s="8" t="s">
        <v>34</v>
      </c>
      <c r="I32" s="10" t="s">
        <v>212</v>
      </c>
      <c r="J32" s="10" t="s">
        <v>210</v>
      </c>
      <c r="K32" s="10">
        <v>0.4</v>
      </c>
      <c r="L32" s="11">
        <f t="shared" si="10"/>
        <v>6.96</v>
      </c>
      <c r="M32" s="10"/>
      <c r="N32" s="11">
        <f t="shared" si="11"/>
        <v>0</v>
      </c>
      <c r="O32" s="10">
        <v>0.35</v>
      </c>
      <c r="P32" s="11">
        <f t="shared" si="12"/>
        <v>6.089999999999999</v>
      </c>
      <c r="Q32" s="10">
        <v>0.25</v>
      </c>
      <c r="R32" s="11">
        <f t="shared" si="13"/>
        <v>4.3499999999999996</v>
      </c>
      <c r="S32" s="10"/>
      <c r="T32" s="11">
        <f t="shared" si="14"/>
        <v>0</v>
      </c>
    </row>
    <row r="33" spans="1:20" outlineLevel="2" x14ac:dyDescent="0.2">
      <c r="A33" s="7" t="s">
        <v>32</v>
      </c>
      <c r="B33" s="8" t="s">
        <v>33</v>
      </c>
      <c r="C33" s="9">
        <v>784.68200000000002</v>
      </c>
      <c r="D33" s="9">
        <v>79181.47</v>
      </c>
      <c r="E33" s="8">
        <v>1620</v>
      </c>
      <c r="F33" s="8">
        <v>2</v>
      </c>
      <c r="G33" s="9">
        <v>0</v>
      </c>
      <c r="H33" s="8" t="s">
        <v>34</v>
      </c>
      <c r="I33" s="10" t="s">
        <v>212</v>
      </c>
      <c r="J33" s="10" t="s">
        <v>210</v>
      </c>
      <c r="K33" s="10">
        <v>0.4</v>
      </c>
      <c r="L33" s="11">
        <f t="shared" si="10"/>
        <v>313.87280000000004</v>
      </c>
      <c r="M33" s="10"/>
      <c r="N33" s="11">
        <f t="shared" si="11"/>
        <v>0</v>
      </c>
      <c r="O33" s="10">
        <v>0.35</v>
      </c>
      <c r="P33" s="11">
        <f t="shared" si="12"/>
        <v>274.63869999999997</v>
      </c>
      <c r="Q33" s="10">
        <v>0.25</v>
      </c>
      <c r="R33" s="11">
        <f t="shared" si="13"/>
        <v>196.1705</v>
      </c>
      <c r="S33" s="10"/>
      <c r="T33" s="11">
        <f t="shared" si="14"/>
        <v>0</v>
      </c>
    </row>
    <row r="34" spans="1:20" outlineLevel="2" x14ac:dyDescent="0.2">
      <c r="A34" s="7" t="s">
        <v>39</v>
      </c>
      <c r="B34" s="8" t="s">
        <v>40</v>
      </c>
      <c r="C34" s="9">
        <v>632.28</v>
      </c>
      <c r="D34" s="9">
        <v>169807.28</v>
      </c>
      <c r="E34" s="8">
        <v>2383</v>
      </c>
      <c r="F34" s="8">
        <v>0</v>
      </c>
      <c r="G34" s="9">
        <v>0</v>
      </c>
      <c r="H34" s="8" t="s">
        <v>34</v>
      </c>
      <c r="I34" s="10" t="s">
        <v>212</v>
      </c>
      <c r="J34" s="10" t="s">
        <v>210</v>
      </c>
      <c r="K34" s="10">
        <v>0.4</v>
      </c>
      <c r="L34" s="11">
        <f t="shared" si="10"/>
        <v>252.91200000000001</v>
      </c>
      <c r="M34" s="10"/>
      <c r="N34" s="11">
        <f t="shared" si="11"/>
        <v>0</v>
      </c>
      <c r="O34" s="10">
        <v>0.35</v>
      </c>
      <c r="P34" s="11">
        <f t="shared" si="12"/>
        <v>221.29799999999997</v>
      </c>
      <c r="Q34" s="10">
        <v>0.25</v>
      </c>
      <c r="R34" s="11">
        <f t="shared" si="13"/>
        <v>158.07</v>
      </c>
      <c r="S34" s="10"/>
      <c r="T34" s="11">
        <f t="shared" si="14"/>
        <v>0</v>
      </c>
    </row>
    <row r="35" spans="1:20" outlineLevel="2" x14ac:dyDescent="0.2">
      <c r="A35" s="7" t="s">
        <v>57</v>
      </c>
      <c r="B35" s="8" t="s">
        <v>58</v>
      </c>
      <c r="C35" s="9">
        <v>362.31200000000001</v>
      </c>
      <c r="D35" s="9">
        <v>103406.05</v>
      </c>
      <c r="E35" s="8">
        <v>1137</v>
      </c>
      <c r="F35" s="8">
        <v>0</v>
      </c>
      <c r="G35" s="9">
        <v>0</v>
      </c>
      <c r="H35" s="8" t="s">
        <v>34</v>
      </c>
      <c r="I35" s="10" t="s">
        <v>212</v>
      </c>
      <c r="J35" s="10" t="s">
        <v>210</v>
      </c>
      <c r="K35" s="10">
        <v>0.4</v>
      </c>
      <c r="L35" s="11">
        <f t="shared" si="10"/>
        <v>144.9248</v>
      </c>
      <c r="M35" s="10"/>
      <c r="N35" s="11">
        <f t="shared" si="11"/>
        <v>0</v>
      </c>
      <c r="O35" s="10">
        <v>0.35</v>
      </c>
      <c r="P35" s="11">
        <f t="shared" si="12"/>
        <v>126.80919999999999</v>
      </c>
      <c r="Q35" s="10">
        <v>0.25</v>
      </c>
      <c r="R35" s="11">
        <f t="shared" si="13"/>
        <v>90.578000000000003</v>
      </c>
      <c r="S35" s="10"/>
      <c r="T35" s="11">
        <f t="shared" si="14"/>
        <v>0</v>
      </c>
    </row>
    <row r="36" spans="1:20" outlineLevel="2" x14ac:dyDescent="0.2">
      <c r="A36" s="7" t="s">
        <v>35</v>
      </c>
      <c r="B36" s="8" t="s">
        <v>36</v>
      </c>
      <c r="C36" s="9">
        <v>689.30399999999997</v>
      </c>
      <c r="D36" s="9">
        <v>196030.88</v>
      </c>
      <c r="E36" s="8">
        <v>2049</v>
      </c>
      <c r="F36" s="8">
        <v>0</v>
      </c>
      <c r="G36" s="9">
        <v>0</v>
      </c>
      <c r="H36" s="8" t="s">
        <v>34</v>
      </c>
      <c r="I36" s="10" t="s">
        <v>212</v>
      </c>
      <c r="J36" s="10" t="s">
        <v>210</v>
      </c>
      <c r="K36" s="10">
        <v>0.4</v>
      </c>
      <c r="L36" s="11">
        <f t="shared" si="10"/>
        <v>275.72160000000002</v>
      </c>
      <c r="M36" s="10"/>
      <c r="N36" s="11">
        <f t="shared" si="11"/>
        <v>0</v>
      </c>
      <c r="O36" s="10">
        <v>0.35</v>
      </c>
      <c r="P36" s="11">
        <f t="shared" si="12"/>
        <v>241.25639999999999</v>
      </c>
      <c r="Q36" s="10">
        <v>0.25</v>
      </c>
      <c r="R36" s="11">
        <f t="shared" si="13"/>
        <v>172.32599999999999</v>
      </c>
      <c r="S36" s="10"/>
      <c r="T36" s="11">
        <f t="shared" si="14"/>
        <v>0</v>
      </c>
    </row>
    <row r="37" spans="1:20" outlineLevel="2" x14ac:dyDescent="0.2">
      <c r="A37" s="7" t="s">
        <v>61</v>
      </c>
      <c r="B37" s="8" t="s">
        <v>62</v>
      </c>
      <c r="C37" s="9">
        <v>341.02199999999999</v>
      </c>
      <c r="D37" s="9">
        <v>42473.03</v>
      </c>
      <c r="E37" s="8">
        <v>802</v>
      </c>
      <c r="F37" s="8">
        <v>0</v>
      </c>
      <c r="G37" s="9">
        <v>0</v>
      </c>
      <c r="H37" s="8" t="s">
        <v>34</v>
      </c>
      <c r="I37" s="10" t="s">
        <v>212</v>
      </c>
      <c r="J37" s="10" t="s">
        <v>210</v>
      </c>
      <c r="K37" s="10">
        <v>0.4</v>
      </c>
      <c r="L37" s="11">
        <f t="shared" si="10"/>
        <v>136.40880000000001</v>
      </c>
      <c r="M37" s="10"/>
      <c r="N37" s="11">
        <f t="shared" si="11"/>
        <v>0</v>
      </c>
      <c r="O37" s="10">
        <v>0.35</v>
      </c>
      <c r="P37" s="11">
        <f t="shared" si="12"/>
        <v>119.35769999999999</v>
      </c>
      <c r="Q37" s="10">
        <v>0.25</v>
      </c>
      <c r="R37" s="11">
        <f t="shared" si="13"/>
        <v>85.255499999999998</v>
      </c>
      <c r="S37" s="10"/>
      <c r="T37" s="11">
        <f t="shared" si="14"/>
        <v>0</v>
      </c>
    </row>
    <row r="38" spans="1:20" outlineLevel="2" x14ac:dyDescent="0.2">
      <c r="A38" s="7" t="s">
        <v>113</v>
      </c>
      <c r="B38" s="8" t="s">
        <v>114</v>
      </c>
      <c r="C38" s="9">
        <v>145.732</v>
      </c>
      <c r="D38" s="9">
        <v>18791.64</v>
      </c>
      <c r="E38" s="8">
        <v>568</v>
      </c>
      <c r="F38" s="8">
        <v>0</v>
      </c>
      <c r="G38" s="9">
        <v>0</v>
      </c>
      <c r="H38" s="8" t="s">
        <v>34</v>
      </c>
      <c r="I38" s="10" t="s">
        <v>212</v>
      </c>
      <c r="J38" s="10" t="s">
        <v>208</v>
      </c>
      <c r="K38" s="10">
        <v>0.8</v>
      </c>
      <c r="L38" s="11">
        <f t="shared" si="10"/>
        <v>116.5856</v>
      </c>
      <c r="M38" s="10"/>
      <c r="N38" s="11">
        <f t="shared" si="11"/>
        <v>0</v>
      </c>
      <c r="O38" s="10"/>
      <c r="P38" s="11">
        <f t="shared" si="12"/>
        <v>0</v>
      </c>
      <c r="Q38" s="10">
        <v>0.2</v>
      </c>
      <c r="R38" s="11">
        <f t="shared" si="13"/>
        <v>29.1464</v>
      </c>
      <c r="S38" s="10"/>
      <c r="T38" s="11">
        <f t="shared" si="14"/>
        <v>0</v>
      </c>
    </row>
    <row r="39" spans="1:20" outlineLevel="2" x14ac:dyDescent="0.2">
      <c r="A39" s="7" t="s">
        <v>170</v>
      </c>
      <c r="B39" s="8" t="s">
        <v>171</v>
      </c>
      <c r="C39" s="9">
        <v>11.4</v>
      </c>
      <c r="D39" s="9">
        <v>0</v>
      </c>
      <c r="E39" s="8">
        <v>0</v>
      </c>
      <c r="F39" s="8">
        <v>0</v>
      </c>
      <c r="G39" s="9">
        <v>0</v>
      </c>
      <c r="H39" s="8" t="s">
        <v>34</v>
      </c>
      <c r="I39" s="10" t="s">
        <v>212</v>
      </c>
      <c r="J39" s="10" t="s">
        <v>210</v>
      </c>
      <c r="K39" s="10">
        <v>0.4</v>
      </c>
      <c r="L39" s="11">
        <f t="shared" si="10"/>
        <v>4.5600000000000005</v>
      </c>
      <c r="M39" s="10"/>
      <c r="N39" s="11">
        <f t="shared" si="11"/>
        <v>0</v>
      </c>
      <c r="O39" s="10">
        <v>0.35</v>
      </c>
      <c r="P39" s="11">
        <f t="shared" si="12"/>
        <v>3.9899999999999998</v>
      </c>
      <c r="Q39" s="10">
        <v>0.25</v>
      </c>
      <c r="R39" s="11">
        <f t="shared" si="13"/>
        <v>2.85</v>
      </c>
      <c r="S39" s="10"/>
      <c r="T39" s="11">
        <f t="shared" si="14"/>
        <v>0</v>
      </c>
    </row>
    <row r="40" spans="1:20" outlineLevel="2" x14ac:dyDescent="0.2">
      <c r="A40" s="7" t="s">
        <v>124</v>
      </c>
      <c r="B40" s="8" t="s">
        <v>125</v>
      </c>
      <c r="C40" s="9">
        <v>90.49</v>
      </c>
      <c r="D40" s="9">
        <v>8371.52</v>
      </c>
      <c r="E40" s="8">
        <v>208</v>
      </c>
      <c r="F40" s="8">
        <v>0</v>
      </c>
      <c r="G40" s="9">
        <v>0</v>
      </c>
      <c r="H40" s="8" t="s">
        <v>34</v>
      </c>
      <c r="I40" s="10" t="s">
        <v>212</v>
      </c>
      <c r="J40" s="10" t="s">
        <v>210</v>
      </c>
      <c r="K40" s="10">
        <v>0.4</v>
      </c>
      <c r="L40" s="11">
        <f t="shared" si="10"/>
        <v>36.195999999999998</v>
      </c>
      <c r="M40" s="10"/>
      <c r="N40" s="11">
        <f t="shared" si="11"/>
        <v>0</v>
      </c>
      <c r="O40" s="10">
        <v>0.35</v>
      </c>
      <c r="P40" s="11">
        <f t="shared" si="12"/>
        <v>31.671499999999995</v>
      </c>
      <c r="Q40" s="10">
        <v>0.25</v>
      </c>
      <c r="R40" s="11">
        <f t="shared" si="13"/>
        <v>22.622499999999999</v>
      </c>
      <c r="S40" s="10"/>
      <c r="T40" s="11">
        <f t="shared" si="14"/>
        <v>0</v>
      </c>
    </row>
    <row r="41" spans="1:20" outlineLevel="2" x14ac:dyDescent="0.2">
      <c r="A41" s="7" t="s">
        <v>43</v>
      </c>
      <c r="B41" s="8" t="s">
        <v>44</v>
      </c>
      <c r="C41" s="9">
        <v>558.82399999999996</v>
      </c>
      <c r="D41" s="9">
        <v>109439.26</v>
      </c>
      <c r="E41" s="8">
        <v>3224</v>
      </c>
      <c r="F41" s="8">
        <v>4</v>
      </c>
      <c r="G41" s="9">
        <v>0</v>
      </c>
      <c r="H41" s="8" t="s">
        <v>45</v>
      </c>
      <c r="I41" s="10" t="s">
        <v>242</v>
      </c>
      <c r="J41" s="10" t="s">
        <v>208</v>
      </c>
      <c r="K41" s="10">
        <v>0.4</v>
      </c>
      <c r="L41" s="11">
        <f t="shared" si="10"/>
        <v>223.52959999999999</v>
      </c>
      <c r="M41" s="10"/>
      <c r="N41" s="11">
        <f t="shared" si="11"/>
        <v>0</v>
      </c>
      <c r="O41" s="10"/>
      <c r="P41" s="11">
        <f t="shared" si="12"/>
        <v>0</v>
      </c>
      <c r="Q41" s="10">
        <v>0.6</v>
      </c>
      <c r="R41" s="11">
        <f t="shared" si="13"/>
        <v>335.29439999999994</v>
      </c>
      <c r="S41" s="10"/>
      <c r="T41" s="11">
        <f t="shared" si="14"/>
        <v>0</v>
      </c>
    </row>
    <row r="42" spans="1:20" outlineLevel="2" x14ac:dyDescent="0.2">
      <c r="A42" s="7" t="s">
        <v>115</v>
      </c>
      <c r="B42" s="8" t="s">
        <v>116</v>
      </c>
      <c r="C42" s="9">
        <v>133.31</v>
      </c>
      <c r="D42" s="9">
        <v>12813.29</v>
      </c>
      <c r="E42" s="8">
        <v>529</v>
      </c>
      <c r="F42" s="8">
        <v>0</v>
      </c>
      <c r="G42" s="9">
        <v>0</v>
      </c>
      <c r="H42" s="8" t="s">
        <v>45</v>
      </c>
      <c r="I42" s="10" t="s">
        <v>242</v>
      </c>
      <c r="J42" s="10" t="s">
        <v>208</v>
      </c>
      <c r="K42" s="10">
        <v>0.4</v>
      </c>
      <c r="L42" s="11">
        <f t="shared" si="10"/>
        <v>53.324000000000005</v>
      </c>
      <c r="M42" s="10"/>
      <c r="N42" s="11">
        <f t="shared" si="11"/>
        <v>0</v>
      </c>
      <c r="O42" s="10"/>
      <c r="P42" s="11">
        <f t="shared" si="12"/>
        <v>0</v>
      </c>
      <c r="Q42" s="10">
        <v>0.6</v>
      </c>
      <c r="R42" s="11">
        <f t="shared" si="13"/>
        <v>79.986000000000004</v>
      </c>
      <c r="S42" s="10"/>
      <c r="T42" s="11">
        <f t="shared" si="14"/>
        <v>0</v>
      </c>
    </row>
    <row r="43" spans="1:20" outlineLevel="2" x14ac:dyDescent="0.2">
      <c r="A43" s="7" t="s">
        <v>136</v>
      </c>
      <c r="B43" s="8" t="s">
        <v>137</v>
      </c>
      <c r="C43" s="9">
        <v>65.902500000000003</v>
      </c>
      <c r="D43" s="9">
        <v>4119.24</v>
      </c>
      <c r="E43" s="8">
        <v>99</v>
      </c>
      <c r="F43" s="8">
        <v>0</v>
      </c>
      <c r="G43" s="9">
        <v>0</v>
      </c>
      <c r="H43" s="8" t="s">
        <v>45</v>
      </c>
      <c r="I43" s="10" t="s">
        <v>242</v>
      </c>
      <c r="J43" s="10" t="s">
        <v>208</v>
      </c>
      <c r="K43" s="10">
        <v>0.4</v>
      </c>
      <c r="L43" s="11">
        <f t="shared" si="10"/>
        <v>26.361000000000004</v>
      </c>
      <c r="M43" s="10"/>
      <c r="N43" s="11">
        <f t="shared" si="11"/>
        <v>0</v>
      </c>
      <c r="O43" s="10"/>
      <c r="P43" s="11">
        <f t="shared" si="12"/>
        <v>0</v>
      </c>
      <c r="Q43" s="10">
        <v>0.6</v>
      </c>
      <c r="R43" s="11">
        <f t="shared" si="13"/>
        <v>39.541499999999999</v>
      </c>
      <c r="S43" s="10"/>
      <c r="T43" s="11">
        <f t="shared" si="14"/>
        <v>0</v>
      </c>
    </row>
    <row r="44" spans="1:20" outlineLevel="2" x14ac:dyDescent="0.2">
      <c r="A44" s="7" t="s">
        <v>152</v>
      </c>
      <c r="B44" s="8" t="s">
        <v>153</v>
      </c>
      <c r="C44" s="9">
        <v>27.283999999999999</v>
      </c>
      <c r="D44" s="9">
        <v>5548.98</v>
      </c>
      <c r="E44" s="8">
        <v>228</v>
      </c>
      <c r="F44" s="8">
        <v>0</v>
      </c>
      <c r="G44" s="9">
        <v>0</v>
      </c>
      <c r="H44" s="8" t="s">
        <v>45</v>
      </c>
      <c r="I44" s="10" t="s">
        <v>242</v>
      </c>
      <c r="J44" s="10" t="s">
        <v>208</v>
      </c>
      <c r="K44" s="13">
        <v>0.4</v>
      </c>
      <c r="L44" s="11">
        <f t="shared" si="10"/>
        <v>10.913600000000001</v>
      </c>
      <c r="M44" s="10"/>
      <c r="N44" s="11">
        <f t="shared" si="11"/>
        <v>0</v>
      </c>
      <c r="O44" s="10"/>
      <c r="P44" s="11">
        <f t="shared" si="12"/>
        <v>0</v>
      </c>
      <c r="Q44" s="10">
        <v>0.6</v>
      </c>
      <c r="R44" s="11">
        <f t="shared" si="13"/>
        <v>16.3704</v>
      </c>
      <c r="S44" s="10"/>
      <c r="T44" s="11">
        <f t="shared" si="14"/>
        <v>0</v>
      </c>
    </row>
    <row r="45" spans="1:20" outlineLevel="2" x14ac:dyDescent="0.2">
      <c r="A45" s="7" t="s">
        <v>138</v>
      </c>
      <c r="B45" s="8" t="s">
        <v>139</v>
      </c>
      <c r="C45" s="9">
        <v>57.357999999999997</v>
      </c>
      <c r="D45" s="9">
        <v>15349.49</v>
      </c>
      <c r="E45" s="8">
        <v>837</v>
      </c>
      <c r="F45" s="8">
        <v>1</v>
      </c>
      <c r="G45" s="9">
        <v>0</v>
      </c>
      <c r="H45" s="8" t="s">
        <v>45</v>
      </c>
      <c r="I45" s="10" t="s">
        <v>242</v>
      </c>
      <c r="J45" s="10" t="s">
        <v>208</v>
      </c>
      <c r="K45" s="10">
        <v>0.4</v>
      </c>
      <c r="L45" s="11">
        <f t="shared" si="10"/>
        <v>22.943200000000001</v>
      </c>
      <c r="M45" s="10"/>
      <c r="N45" s="11">
        <f t="shared" si="11"/>
        <v>0</v>
      </c>
      <c r="O45" s="10"/>
      <c r="P45" s="11">
        <f t="shared" si="12"/>
        <v>0</v>
      </c>
      <c r="Q45" s="10">
        <v>0.6</v>
      </c>
      <c r="R45" s="11">
        <f t="shared" si="13"/>
        <v>34.4148</v>
      </c>
      <c r="S45" s="10"/>
      <c r="T45" s="11">
        <f t="shared" si="14"/>
        <v>0</v>
      </c>
    </row>
    <row r="46" spans="1:20" outlineLevel="2" x14ac:dyDescent="0.2">
      <c r="A46" s="7" t="s">
        <v>174</v>
      </c>
      <c r="B46" s="8" t="s">
        <v>175</v>
      </c>
      <c r="C46" s="9">
        <v>-0.6</v>
      </c>
      <c r="D46" s="9">
        <v>0</v>
      </c>
      <c r="E46" s="8">
        <v>0</v>
      </c>
      <c r="F46" s="8">
        <v>0</v>
      </c>
      <c r="G46" s="9">
        <v>0</v>
      </c>
      <c r="H46" s="8" t="s">
        <v>45</v>
      </c>
      <c r="I46" s="10" t="s">
        <v>242</v>
      </c>
      <c r="J46" s="10" t="s">
        <v>208</v>
      </c>
      <c r="K46" s="10">
        <v>0.4</v>
      </c>
      <c r="L46" s="11">
        <f t="shared" si="10"/>
        <v>-0.24</v>
      </c>
      <c r="M46" s="10"/>
      <c r="N46" s="11">
        <f t="shared" si="11"/>
        <v>0</v>
      </c>
      <c r="O46" s="10"/>
      <c r="P46" s="11">
        <f t="shared" si="12"/>
        <v>0</v>
      </c>
      <c r="Q46" s="10">
        <v>0.6</v>
      </c>
      <c r="R46" s="11">
        <f t="shared" si="13"/>
        <v>-0.36</v>
      </c>
      <c r="S46" s="10"/>
      <c r="T46" s="11">
        <f t="shared" si="14"/>
        <v>0</v>
      </c>
    </row>
    <row r="47" spans="1:20" outlineLevel="1" x14ac:dyDescent="0.2">
      <c r="A47" s="7"/>
      <c r="B47" s="8"/>
      <c r="C47" s="9"/>
      <c r="D47" s="9"/>
      <c r="E47" s="8"/>
      <c r="F47" s="8"/>
      <c r="G47" s="9"/>
      <c r="H47" s="8"/>
      <c r="I47" s="12" t="s">
        <v>229</v>
      </c>
      <c r="J47" s="10"/>
      <c r="K47" s="10"/>
      <c r="L47" s="17">
        <f>SUBTOTAL(9,L28:L46)</f>
        <v>1914.1368</v>
      </c>
      <c r="M47" s="10"/>
      <c r="N47" s="11">
        <f>SUBTOTAL(9,N28:N46)</f>
        <v>0</v>
      </c>
      <c r="O47" s="10"/>
      <c r="P47" s="11"/>
      <c r="Q47" s="10"/>
      <c r="R47" s="11"/>
      <c r="S47" s="10"/>
      <c r="T47" s="11"/>
    </row>
    <row r="48" spans="1:20" outlineLevel="2" x14ac:dyDescent="0.2">
      <c r="A48" s="7" t="s">
        <v>128</v>
      </c>
      <c r="B48" s="8" t="s">
        <v>129</v>
      </c>
      <c r="C48" s="9">
        <v>81.465999999999994</v>
      </c>
      <c r="D48" s="9">
        <v>8162.12</v>
      </c>
      <c r="E48" s="8">
        <v>294</v>
      </c>
      <c r="F48" s="8">
        <v>0</v>
      </c>
      <c r="G48" s="9">
        <v>0</v>
      </c>
      <c r="H48" s="8" t="s">
        <v>19</v>
      </c>
      <c r="I48" s="10" t="s">
        <v>214</v>
      </c>
      <c r="J48" s="10" t="s">
        <v>210</v>
      </c>
      <c r="K48" s="10">
        <v>0.4</v>
      </c>
      <c r="L48" s="11">
        <f>K48*C48</f>
        <v>32.586399999999998</v>
      </c>
      <c r="M48" s="10"/>
      <c r="N48" s="11">
        <f>M48*C48</f>
        <v>0</v>
      </c>
      <c r="O48" s="10">
        <v>0.35</v>
      </c>
      <c r="P48" s="11">
        <f>O48*C48</f>
        <v>28.513099999999994</v>
      </c>
      <c r="Q48" s="10">
        <v>0.25</v>
      </c>
      <c r="R48" s="11">
        <f>Q48*C48</f>
        <v>20.366499999999998</v>
      </c>
      <c r="S48" s="10"/>
      <c r="T48" s="11">
        <f>S48*C48</f>
        <v>0</v>
      </c>
    </row>
    <row r="49" spans="1:20" outlineLevel="2" x14ac:dyDescent="0.2">
      <c r="A49" s="7" t="s">
        <v>17</v>
      </c>
      <c r="B49" s="8" t="s">
        <v>18</v>
      </c>
      <c r="C49" s="9">
        <v>2179.4475000000002</v>
      </c>
      <c r="D49" s="9">
        <v>313384.90999999997</v>
      </c>
      <c r="E49" s="8">
        <v>389</v>
      </c>
      <c r="F49" s="8">
        <v>10</v>
      </c>
      <c r="G49" s="9">
        <v>0</v>
      </c>
      <c r="H49" s="8" t="s">
        <v>19</v>
      </c>
      <c r="I49" s="10" t="s">
        <v>214</v>
      </c>
      <c r="J49" s="10" t="s">
        <v>210</v>
      </c>
      <c r="K49" s="10">
        <v>0.4</v>
      </c>
      <c r="L49" s="11">
        <f>K49*C49</f>
        <v>871.77900000000011</v>
      </c>
      <c r="M49" s="10"/>
      <c r="N49" s="11">
        <f>M49*C49</f>
        <v>0</v>
      </c>
      <c r="O49" s="10">
        <v>0.35</v>
      </c>
      <c r="P49" s="11">
        <f>O49*C49</f>
        <v>762.80662500000005</v>
      </c>
      <c r="Q49" s="10">
        <v>0.25</v>
      </c>
      <c r="R49" s="11">
        <f>Q49*C49</f>
        <v>544.86187500000005</v>
      </c>
      <c r="S49" s="10"/>
      <c r="T49" s="11">
        <f>S49*C49</f>
        <v>0</v>
      </c>
    </row>
    <row r="50" spans="1:20" outlineLevel="2" x14ac:dyDescent="0.2">
      <c r="A50" s="7" t="s">
        <v>20</v>
      </c>
      <c r="B50" s="8" t="s">
        <v>21</v>
      </c>
      <c r="C50" s="9">
        <v>1759.5239999999999</v>
      </c>
      <c r="D50" s="9">
        <v>307200.39</v>
      </c>
      <c r="E50" s="8">
        <v>108</v>
      </c>
      <c r="F50" s="8">
        <v>2</v>
      </c>
      <c r="G50" s="9">
        <v>0</v>
      </c>
      <c r="H50" s="8" t="s">
        <v>19</v>
      </c>
      <c r="I50" s="10" t="s">
        <v>214</v>
      </c>
      <c r="J50" s="10" t="s">
        <v>210</v>
      </c>
      <c r="K50" s="10">
        <v>0.4</v>
      </c>
      <c r="L50" s="11">
        <f>K50*C50</f>
        <v>703.80960000000005</v>
      </c>
      <c r="M50" s="10"/>
      <c r="N50" s="11">
        <f>M50*C50</f>
        <v>0</v>
      </c>
      <c r="O50" s="10">
        <v>0.35</v>
      </c>
      <c r="P50" s="11">
        <f>O50*C50</f>
        <v>615.83339999999987</v>
      </c>
      <c r="Q50" s="10">
        <v>0.25</v>
      </c>
      <c r="R50" s="11">
        <f>Q50*C50</f>
        <v>439.88099999999997</v>
      </c>
      <c r="S50" s="10"/>
      <c r="T50" s="11">
        <f>S50*C50</f>
        <v>0</v>
      </c>
    </row>
    <row r="51" spans="1:20" outlineLevel="2" x14ac:dyDescent="0.2">
      <c r="A51" s="7" t="s">
        <v>75</v>
      </c>
      <c r="B51" s="8" t="s">
        <v>76</v>
      </c>
      <c r="C51" s="9">
        <v>267.42399999999998</v>
      </c>
      <c r="D51" s="9">
        <v>33643.17</v>
      </c>
      <c r="E51" s="8">
        <v>881</v>
      </c>
      <c r="F51" s="8">
        <v>0</v>
      </c>
      <c r="G51" s="9">
        <v>0</v>
      </c>
      <c r="H51" s="8" t="s">
        <v>19</v>
      </c>
      <c r="I51" s="10" t="s">
        <v>214</v>
      </c>
      <c r="J51" s="10" t="s">
        <v>208</v>
      </c>
      <c r="K51" s="10">
        <v>0.6</v>
      </c>
      <c r="L51" s="11">
        <f>K51*C51</f>
        <v>160.45439999999999</v>
      </c>
      <c r="M51" s="10"/>
      <c r="N51" s="11">
        <f>M51*C51</f>
        <v>0</v>
      </c>
      <c r="O51" s="10"/>
      <c r="P51" s="11">
        <f>O51*C51</f>
        <v>0</v>
      </c>
      <c r="Q51" s="10">
        <v>0.4</v>
      </c>
      <c r="R51" s="11">
        <f>Q51*C51</f>
        <v>106.9696</v>
      </c>
      <c r="S51" s="10"/>
      <c r="T51" s="11">
        <f>S51*C51</f>
        <v>0</v>
      </c>
    </row>
    <row r="52" spans="1:20" outlineLevel="1" x14ac:dyDescent="0.2">
      <c r="A52" s="7"/>
      <c r="B52" s="8"/>
      <c r="C52" s="9"/>
      <c r="D52" s="9"/>
      <c r="E52" s="8"/>
      <c r="F52" s="8"/>
      <c r="G52" s="9"/>
      <c r="H52" s="8"/>
      <c r="I52" s="12" t="s">
        <v>230</v>
      </c>
      <c r="J52" s="10"/>
      <c r="K52" s="10"/>
      <c r="L52" s="17">
        <f>SUBTOTAL(9,L48:L51)</f>
        <v>1768.6294000000003</v>
      </c>
      <c r="M52" s="10"/>
      <c r="N52" s="11">
        <f>SUBTOTAL(9,N48:N51)</f>
        <v>0</v>
      </c>
      <c r="O52" s="10"/>
      <c r="P52" s="11"/>
      <c r="Q52" s="10"/>
      <c r="R52" s="11"/>
      <c r="S52" s="10"/>
      <c r="T52" s="11"/>
    </row>
    <row r="53" spans="1:20" outlineLevel="2" x14ac:dyDescent="0.2">
      <c r="A53" s="7" t="s">
        <v>99</v>
      </c>
      <c r="B53" s="8" t="s">
        <v>100</v>
      </c>
      <c r="C53" s="9">
        <v>185.428</v>
      </c>
      <c r="D53" s="9">
        <v>17155.759999999998</v>
      </c>
      <c r="E53" s="8">
        <v>432</v>
      </c>
      <c r="F53" s="8">
        <v>0</v>
      </c>
      <c r="G53" s="9">
        <v>0</v>
      </c>
      <c r="H53" s="8" t="s">
        <v>74</v>
      </c>
      <c r="I53" s="10" t="s">
        <v>207</v>
      </c>
      <c r="J53" s="10" t="s">
        <v>208</v>
      </c>
      <c r="K53" s="10">
        <v>0.7</v>
      </c>
      <c r="L53" s="11">
        <f t="shared" ref="L53:L65" si="15">K53*C53</f>
        <v>129.7996</v>
      </c>
      <c r="M53" s="10">
        <v>0.1</v>
      </c>
      <c r="N53" s="11">
        <f t="shared" ref="N53:N65" si="16">M53*C53</f>
        <v>18.5428</v>
      </c>
      <c r="O53" s="12"/>
      <c r="P53" s="11">
        <f t="shared" ref="P53:P65" si="17">O53*C53</f>
        <v>0</v>
      </c>
      <c r="Q53" s="12"/>
      <c r="R53" s="11">
        <f t="shared" ref="R53:R65" si="18">Q53*C53</f>
        <v>0</v>
      </c>
      <c r="S53" s="10">
        <v>0.2</v>
      </c>
      <c r="T53" s="11">
        <f t="shared" ref="T53:T65" si="19">S53*C53</f>
        <v>37.085599999999999</v>
      </c>
    </row>
    <row r="54" spans="1:20" outlineLevel="2" x14ac:dyDescent="0.2">
      <c r="A54" s="7" t="s">
        <v>144</v>
      </c>
      <c r="B54" s="8" t="s">
        <v>145</v>
      </c>
      <c r="C54" s="9">
        <v>35.17</v>
      </c>
      <c r="D54" s="9">
        <v>3878.03</v>
      </c>
      <c r="E54" s="8">
        <v>153</v>
      </c>
      <c r="F54" s="8">
        <v>0</v>
      </c>
      <c r="G54" s="9">
        <v>0</v>
      </c>
      <c r="H54" s="8" t="s">
        <v>74</v>
      </c>
      <c r="I54" s="10" t="s">
        <v>207</v>
      </c>
      <c r="J54" s="10" t="s">
        <v>208</v>
      </c>
      <c r="K54" s="10">
        <v>0.7</v>
      </c>
      <c r="L54" s="11">
        <f t="shared" si="15"/>
        <v>24.619</v>
      </c>
      <c r="M54" s="10">
        <v>0.1</v>
      </c>
      <c r="N54" s="11">
        <f t="shared" si="16"/>
        <v>3.5170000000000003</v>
      </c>
      <c r="O54" s="12"/>
      <c r="P54" s="11">
        <f t="shared" si="17"/>
        <v>0</v>
      </c>
      <c r="Q54" s="12"/>
      <c r="R54" s="11">
        <f t="shared" si="18"/>
        <v>0</v>
      </c>
      <c r="S54" s="10">
        <v>0.2</v>
      </c>
      <c r="T54" s="11">
        <f t="shared" si="19"/>
        <v>7.0340000000000007</v>
      </c>
    </row>
    <row r="55" spans="1:20" outlineLevel="2" x14ac:dyDescent="0.2">
      <c r="A55" s="7" t="s">
        <v>117</v>
      </c>
      <c r="B55" s="8" t="s">
        <v>118</v>
      </c>
      <c r="C55" s="9">
        <v>116.958</v>
      </c>
      <c r="D55" s="9">
        <v>11330.07</v>
      </c>
      <c r="E55" s="8">
        <v>570</v>
      </c>
      <c r="F55" s="8">
        <v>0</v>
      </c>
      <c r="G55" s="9">
        <v>0</v>
      </c>
      <c r="H55" s="8" t="s">
        <v>74</v>
      </c>
      <c r="I55" s="10" t="s">
        <v>207</v>
      </c>
      <c r="J55" s="10" t="s">
        <v>208</v>
      </c>
      <c r="K55" s="10">
        <v>0.7</v>
      </c>
      <c r="L55" s="11">
        <f t="shared" si="15"/>
        <v>81.870599999999996</v>
      </c>
      <c r="M55" s="10">
        <v>0.1</v>
      </c>
      <c r="N55" s="11">
        <f t="shared" si="16"/>
        <v>11.6958</v>
      </c>
      <c r="O55" s="12"/>
      <c r="P55" s="11">
        <f t="shared" si="17"/>
        <v>0</v>
      </c>
      <c r="Q55" s="12"/>
      <c r="R55" s="11">
        <f t="shared" si="18"/>
        <v>0</v>
      </c>
      <c r="S55" s="10">
        <v>0.2</v>
      </c>
      <c r="T55" s="11">
        <f t="shared" si="19"/>
        <v>23.3916</v>
      </c>
    </row>
    <row r="56" spans="1:20" outlineLevel="2" x14ac:dyDescent="0.2">
      <c r="A56" s="7" t="s">
        <v>103</v>
      </c>
      <c r="B56" s="8" t="s">
        <v>104</v>
      </c>
      <c r="C56" s="9">
        <v>175.768</v>
      </c>
      <c r="D56" s="9">
        <v>17938.57</v>
      </c>
      <c r="E56" s="8">
        <v>525</v>
      </c>
      <c r="F56" s="8">
        <v>0</v>
      </c>
      <c r="G56" s="9">
        <v>0</v>
      </c>
      <c r="H56" s="8" t="s">
        <v>74</v>
      </c>
      <c r="I56" s="10" t="s">
        <v>207</v>
      </c>
      <c r="J56" s="10" t="s">
        <v>208</v>
      </c>
      <c r="K56" s="10">
        <v>0.7</v>
      </c>
      <c r="L56" s="11">
        <f t="shared" si="15"/>
        <v>123.0376</v>
      </c>
      <c r="M56" s="10">
        <v>0.1</v>
      </c>
      <c r="N56" s="11">
        <f t="shared" si="16"/>
        <v>17.576800000000002</v>
      </c>
      <c r="O56" s="12"/>
      <c r="P56" s="11">
        <f t="shared" si="17"/>
        <v>0</v>
      </c>
      <c r="Q56" s="12"/>
      <c r="R56" s="11">
        <f t="shared" si="18"/>
        <v>0</v>
      </c>
      <c r="S56" s="10">
        <v>0.2</v>
      </c>
      <c r="T56" s="11">
        <f t="shared" si="19"/>
        <v>35.153600000000004</v>
      </c>
    </row>
    <row r="57" spans="1:20" outlineLevel="2" x14ac:dyDescent="0.2">
      <c r="A57" s="7" t="s">
        <v>111</v>
      </c>
      <c r="B57" s="8" t="s">
        <v>112</v>
      </c>
      <c r="C57" s="9">
        <v>146.21799999999999</v>
      </c>
      <c r="D57" s="9">
        <v>19520.830000000002</v>
      </c>
      <c r="E57" s="8">
        <v>890</v>
      </c>
      <c r="F57" s="8">
        <v>0</v>
      </c>
      <c r="G57" s="9">
        <v>0</v>
      </c>
      <c r="H57" s="8" t="s">
        <v>74</v>
      </c>
      <c r="I57" s="10" t="s">
        <v>207</v>
      </c>
      <c r="J57" s="10" t="s">
        <v>208</v>
      </c>
      <c r="K57" s="10">
        <v>0.7</v>
      </c>
      <c r="L57" s="11">
        <f t="shared" si="15"/>
        <v>102.35259999999998</v>
      </c>
      <c r="M57" s="10">
        <v>0.1</v>
      </c>
      <c r="N57" s="11">
        <f t="shared" si="16"/>
        <v>14.6218</v>
      </c>
      <c r="O57" s="12"/>
      <c r="P57" s="11">
        <f t="shared" si="17"/>
        <v>0</v>
      </c>
      <c r="Q57" s="12"/>
      <c r="R57" s="11">
        <f t="shared" si="18"/>
        <v>0</v>
      </c>
      <c r="S57" s="10">
        <v>0.2</v>
      </c>
      <c r="T57" s="11">
        <f t="shared" si="19"/>
        <v>29.243600000000001</v>
      </c>
    </row>
    <row r="58" spans="1:20" outlineLevel="2" x14ac:dyDescent="0.2">
      <c r="A58" s="7" t="s">
        <v>97</v>
      </c>
      <c r="B58" s="8" t="s">
        <v>98</v>
      </c>
      <c r="C58" s="9">
        <v>197.36500000000001</v>
      </c>
      <c r="D58" s="9">
        <v>13504.62</v>
      </c>
      <c r="E58" s="8">
        <v>465</v>
      </c>
      <c r="F58" s="8">
        <v>0</v>
      </c>
      <c r="G58" s="9">
        <v>0</v>
      </c>
      <c r="H58" s="8" t="s">
        <v>74</v>
      </c>
      <c r="I58" s="10" t="s">
        <v>207</v>
      </c>
      <c r="J58" s="10" t="s">
        <v>208</v>
      </c>
      <c r="K58" s="10">
        <v>0.7</v>
      </c>
      <c r="L58" s="11">
        <f t="shared" si="15"/>
        <v>138.15549999999999</v>
      </c>
      <c r="M58" s="10">
        <v>0.1</v>
      </c>
      <c r="N58" s="11">
        <f t="shared" si="16"/>
        <v>19.736500000000003</v>
      </c>
      <c r="O58" s="12"/>
      <c r="P58" s="11">
        <f t="shared" si="17"/>
        <v>0</v>
      </c>
      <c r="Q58" s="12"/>
      <c r="R58" s="11">
        <f t="shared" si="18"/>
        <v>0</v>
      </c>
      <c r="S58" s="10">
        <v>0.2</v>
      </c>
      <c r="T58" s="11">
        <f t="shared" si="19"/>
        <v>39.473000000000006</v>
      </c>
    </row>
    <row r="59" spans="1:20" outlineLevel="2" x14ac:dyDescent="0.2">
      <c r="A59" s="7" t="s">
        <v>158</v>
      </c>
      <c r="B59" s="8" t="s">
        <v>159</v>
      </c>
      <c r="C59" s="9">
        <v>21.434000000000001</v>
      </c>
      <c r="D59" s="9">
        <v>1123.1099999999999</v>
      </c>
      <c r="E59" s="8">
        <v>36</v>
      </c>
      <c r="F59" s="8">
        <v>0</v>
      </c>
      <c r="G59" s="9">
        <v>0</v>
      </c>
      <c r="H59" s="8" t="s">
        <v>74</v>
      </c>
      <c r="I59" s="10" t="s">
        <v>207</v>
      </c>
      <c r="J59" s="10" t="s">
        <v>208</v>
      </c>
      <c r="K59" s="10">
        <v>0.7</v>
      </c>
      <c r="L59" s="11">
        <f t="shared" si="15"/>
        <v>15.0038</v>
      </c>
      <c r="M59" s="10">
        <v>0.1</v>
      </c>
      <c r="N59" s="11">
        <f t="shared" si="16"/>
        <v>2.1434000000000002</v>
      </c>
      <c r="O59" s="12"/>
      <c r="P59" s="11">
        <f t="shared" si="17"/>
        <v>0</v>
      </c>
      <c r="Q59" s="12"/>
      <c r="R59" s="11">
        <f t="shared" si="18"/>
        <v>0</v>
      </c>
      <c r="S59" s="10">
        <v>0.2</v>
      </c>
      <c r="T59" s="11">
        <f t="shared" si="19"/>
        <v>4.2868000000000004</v>
      </c>
    </row>
    <row r="60" spans="1:20" outlineLevel="2" x14ac:dyDescent="0.2">
      <c r="A60" s="7" t="s">
        <v>90</v>
      </c>
      <c r="B60" s="8" t="s">
        <v>91</v>
      </c>
      <c r="C60" s="9">
        <v>228.816</v>
      </c>
      <c r="D60" s="9">
        <v>24739.4</v>
      </c>
      <c r="E60" s="8">
        <v>741</v>
      </c>
      <c r="F60" s="8">
        <v>0</v>
      </c>
      <c r="G60" s="9">
        <v>0</v>
      </c>
      <c r="H60" s="8" t="s">
        <v>74</v>
      </c>
      <c r="I60" s="10" t="s">
        <v>207</v>
      </c>
      <c r="J60" s="10" t="s">
        <v>208</v>
      </c>
      <c r="K60" s="10">
        <v>0.7</v>
      </c>
      <c r="L60" s="11">
        <f t="shared" si="15"/>
        <v>160.1712</v>
      </c>
      <c r="M60" s="10">
        <v>0.1</v>
      </c>
      <c r="N60" s="11">
        <f t="shared" si="16"/>
        <v>22.881600000000002</v>
      </c>
      <c r="O60" s="12"/>
      <c r="P60" s="11">
        <f t="shared" si="17"/>
        <v>0</v>
      </c>
      <c r="Q60" s="12"/>
      <c r="R60" s="11">
        <f t="shared" si="18"/>
        <v>0</v>
      </c>
      <c r="S60" s="10">
        <v>0.2</v>
      </c>
      <c r="T60" s="11">
        <f t="shared" si="19"/>
        <v>45.763200000000005</v>
      </c>
    </row>
    <row r="61" spans="1:20" outlineLevel="2" x14ac:dyDescent="0.2">
      <c r="A61" s="7" t="s">
        <v>72</v>
      </c>
      <c r="B61" s="8" t="s">
        <v>73</v>
      </c>
      <c r="C61" s="9">
        <v>273.12</v>
      </c>
      <c r="D61" s="9">
        <v>25772.65</v>
      </c>
      <c r="E61" s="8">
        <v>716</v>
      </c>
      <c r="F61" s="8">
        <v>0</v>
      </c>
      <c r="G61" s="9">
        <v>0</v>
      </c>
      <c r="H61" s="8" t="s">
        <v>74</v>
      </c>
      <c r="I61" s="10" t="s">
        <v>207</v>
      </c>
      <c r="J61" s="10" t="s">
        <v>208</v>
      </c>
      <c r="K61" s="10">
        <v>0.7</v>
      </c>
      <c r="L61" s="11">
        <f t="shared" si="15"/>
        <v>191.184</v>
      </c>
      <c r="M61" s="10">
        <v>0.1</v>
      </c>
      <c r="N61" s="11">
        <f t="shared" si="16"/>
        <v>27.312000000000001</v>
      </c>
      <c r="O61" s="12"/>
      <c r="P61" s="11">
        <f t="shared" si="17"/>
        <v>0</v>
      </c>
      <c r="Q61" s="12"/>
      <c r="R61" s="11">
        <f t="shared" si="18"/>
        <v>0</v>
      </c>
      <c r="S61" s="10">
        <v>0.2</v>
      </c>
      <c r="T61" s="11">
        <f t="shared" si="19"/>
        <v>54.624000000000002</v>
      </c>
    </row>
    <row r="62" spans="1:20" outlineLevel="2" x14ac:dyDescent="0.2">
      <c r="A62" s="7" t="s">
        <v>185</v>
      </c>
      <c r="B62" s="8" t="s">
        <v>186</v>
      </c>
      <c r="C62" s="9">
        <v>-4.3125</v>
      </c>
      <c r="D62" s="9">
        <v>0</v>
      </c>
      <c r="E62" s="8">
        <v>0</v>
      </c>
      <c r="F62" s="8">
        <v>0</v>
      </c>
      <c r="G62" s="9">
        <v>0</v>
      </c>
      <c r="H62" s="8" t="s">
        <v>74</v>
      </c>
      <c r="I62" s="10" t="s">
        <v>207</v>
      </c>
      <c r="J62" s="10" t="s">
        <v>208</v>
      </c>
      <c r="K62" s="10">
        <v>0.7</v>
      </c>
      <c r="L62" s="11">
        <f t="shared" si="15"/>
        <v>-3.0187499999999998</v>
      </c>
      <c r="M62" s="10">
        <v>0.1</v>
      </c>
      <c r="N62" s="11">
        <f t="shared" si="16"/>
        <v>-0.43125000000000002</v>
      </c>
      <c r="O62" s="12"/>
      <c r="P62" s="11">
        <f t="shared" si="17"/>
        <v>0</v>
      </c>
      <c r="Q62" s="12"/>
      <c r="R62" s="11">
        <f t="shared" si="18"/>
        <v>0</v>
      </c>
      <c r="S62" s="10">
        <v>0.2</v>
      </c>
      <c r="T62" s="11">
        <f t="shared" si="19"/>
        <v>-0.86250000000000004</v>
      </c>
    </row>
    <row r="63" spans="1:20" outlineLevel="2" x14ac:dyDescent="0.2">
      <c r="A63" s="7" t="s">
        <v>86</v>
      </c>
      <c r="B63" s="8" t="s">
        <v>87</v>
      </c>
      <c r="C63" s="9">
        <v>229.94200000000001</v>
      </c>
      <c r="D63" s="9">
        <v>50462.84</v>
      </c>
      <c r="E63" s="8">
        <v>1407</v>
      </c>
      <c r="F63" s="8">
        <v>1</v>
      </c>
      <c r="G63" s="9">
        <v>0</v>
      </c>
      <c r="H63" s="8" t="s">
        <v>74</v>
      </c>
      <c r="I63" s="10" t="s">
        <v>207</v>
      </c>
      <c r="J63" s="10" t="s">
        <v>208</v>
      </c>
      <c r="K63" s="10">
        <v>0.7</v>
      </c>
      <c r="L63" s="11">
        <f t="shared" si="15"/>
        <v>160.95939999999999</v>
      </c>
      <c r="M63" s="10">
        <v>0.1</v>
      </c>
      <c r="N63" s="11">
        <f t="shared" si="16"/>
        <v>22.994200000000003</v>
      </c>
      <c r="O63" s="12"/>
      <c r="P63" s="11">
        <f t="shared" si="17"/>
        <v>0</v>
      </c>
      <c r="Q63" s="12"/>
      <c r="R63" s="11">
        <f t="shared" si="18"/>
        <v>0</v>
      </c>
      <c r="S63" s="10">
        <v>0.2</v>
      </c>
      <c r="T63" s="11">
        <f t="shared" si="19"/>
        <v>45.988400000000006</v>
      </c>
    </row>
    <row r="64" spans="1:20" outlineLevel="2" x14ac:dyDescent="0.2">
      <c r="A64" s="7" t="s">
        <v>172</v>
      </c>
      <c r="B64" s="8" t="s">
        <v>173</v>
      </c>
      <c r="C64" s="9">
        <v>11.4</v>
      </c>
      <c r="D64" s="9">
        <v>0</v>
      </c>
      <c r="E64" s="8">
        <v>0</v>
      </c>
      <c r="F64" s="8">
        <v>0</v>
      </c>
      <c r="G64" s="9">
        <v>0</v>
      </c>
      <c r="H64" s="8" t="s">
        <v>74</v>
      </c>
      <c r="I64" s="10" t="s">
        <v>207</v>
      </c>
      <c r="J64" s="10" t="s">
        <v>208</v>
      </c>
      <c r="K64" s="10">
        <v>0.7</v>
      </c>
      <c r="L64" s="11">
        <f t="shared" si="15"/>
        <v>7.9799999999999995</v>
      </c>
      <c r="M64" s="10">
        <v>0.1</v>
      </c>
      <c r="N64" s="11">
        <f t="shared" si="16"/>
        <v>1.1400000000000001</v>
      </c>
      <c r="O64" s="12"/>
      <c r="P64" s="11">
        <f t="shared" si="17"/>
        <v>0</v>
      </c>
      <c r="Q64" s="12"/>
      <c r="R64" s="11">
        <f t="shared" si="18"/>
        <v>0</v>
      </c>
      <c r="S64" s="10">
        <v>0.2</v>
      </c>
      <c r="T64" s="11">
        <f t="shared" si="19"/>
        <v>2.2800000000000002</v>
      </c>
    </row>
    <row r="65" spans="1:20" outlineLevel="2" x14ac:dyDescent="0.2">
      <c r="A65" s="7" t="s">
        <v>176</v>
      </c>
      <c r="B65" s="8" t="s">
        <v>177</v>
      </c>
      <c r="C65" s="9">
        <v>-0.71799999999999997</v>
      </c>
      <c r="D65" s="9">
        <v>0.02</v>
      </c>
      <c r="E65" s="8">
        <v>2</v>
      </c>
      <c r="F65" s="8">
        <v>0</v>
      </c>
      <c r="G65" s="9">
        <v>0</v>
      </c>
      <c r="H65" s="8" t="s">
        <v>74</v>
      </c>
      <c r="I65" s="10" t="s">
        <v>207</v>
      </c>
      <c r="J65" s="10" t="s">
        <v>208</v>
      </c>
      <c r="K65" s="10">
        <v>0.7</v>
      </c>
      <c r="L65" s="11">
        <f t="shared" si="15"/>
        <v>-0.50259999999999994</v>
      </c>
      <c r="M65" s="10">
        <v>0.1</v>
      </c>
      <c r="N65" s="11">
        <f t="shared" si="16"/>
        <v>-7.1800000000000003E-2</v>
      </c>
      <c r="O65" s="12"/>
      <c r="P65" s="11">
        <f t="shared" si="17"/>
        <v>0</v>
      </c>
      <c r="Q65" s="12"/>
      <c r="R65" s="11">
        <f t="shared" si="18"/>
        <v>0</v>
      </c>
      <c r="S65" s="10">
        <v>0.2</v>
      </c>
      <c r="T65" s="11">
        <f t="shared" si="19"/>
        <v>-0.14360000000000001</v>
      </c>
    </row>
    <row r="66" spans="1:20" outlineLevel="1" x14ac:dyDescent="0.2">
      <c r="A66" s="7"/>
      <c r="B66" s="8"/>
      <c r="C66" s="9"/>
      <c r="D66" s="9"/>
      <c r="E66" s="8"/>
      <c r="F66" s="8"/>
      <c r="G66" s="9"/>
      <c r="H66" s="8"/>
      <c r="I66" s="12" t="s">
        <v>231</v>
      </c>
      <c r="J66" s="10"/>
      <c r="K66" s="10"/>
      <c r="L66" s="17">
        <f>SUBTOTAL(9,L53:L65)</f>
        <v>1131.61195</v>
      </c>
      <c r="M66" s="10"/>
      <c r="N66" s="17">
        <f>SUBTOTAL(9,N53:N65)</f>
        <v>161.65885000000003</v>
      </c>
      <c r="O66" s="12"/>
      <c r="P66" s="11"/>
      <c r="Q66" s="12"/>
      <c r="R66" s="11"/>
      <c r="S66" s="10"/>
      <c r="T66" s="11"/>
    </row>
    <row r="67" spans="1:20" outlineLevel="2" x14ac:dyDescent="0.2">
      <c r="A67" s="7" t="s">
        <v>77</v>
      </c>
      <c r="B67" s="8" t="s">
        <v>78</v>
      </c>
      <c r="C67" s="9">
        <v>265.39800000000002</v>
      </c>
      <c r="D67" s="9">
        <v>25630.93</v>
      </c>
      <c r="E67" s="8">
        <v>449</v>
      </c>
      <c r="F67" s="8">
        <v>1</v>
      </c>
      <c r="G67" s="9">
        <v>0</v>
      </c>
      <c r="H67" s="8" t="s">
        <v>48</v>
      </c>
      <c r="I67" s="10" t="s">
        <v>219</v>
      </c>
      <c r="J67" s="10" t="s">
        <v>208</v>
      </c>
      <c r="K67" s="10">
        <v>0.7</v>
      </c>
      <c r="L67" s="11">
        <f>K67*C67</f>
        <v>185.77860000000001</v>
      </c>
      <c r="M67" s="10"/>
      <c r="N67" s="11">
        <f>M67*C67</f>
        <v>0</v>
      </c>
      <c r="O67" s="10"/>
      <c r="P67" s="11">
        <f>O67*C67</f>
        <v>0</v>
      </c>
      <c r="Q67" s="10"/>
      <c r="R67" s="11">
        <f>Q67*C67</f>
        <v>0</v>
      </c>
      <c r="S67" s="10">
        <v>0.4</v>
      </c>
      <c r="T67" s="11">
        <f>S67*C67</f>
        <v>106.15920000000001</v>
      </c>
    </row>
    <row r="68" spans="1:20" outlineLevel="2" x14ac:dyDescent="0.2">
      <c r="A68" s="7" t="s">
        <v>109</v>
      </c>
      <c r="B68" s="8" t="s">
        <v>110</v>
      </c>
      <c r="C68" s="9">
        <v>148.47800000000001</v>
      </c>
      <c r="D68" s="9">
        <v>18907.3</v>
      </c>
      <c r="E68" s="8">
        <v>632</v>
      </c>
      <c r="F68" s="8">
        <v>0</v>
      </c>
      <c r="G68" s="9">
        <v>0</v>
      </c>
      <c r="H68" s="8" t="s">
        <v>27</v>
      </c>
      <c r="I68" s="10" t="s">
        <v>219</v>
      </c>
      <c r="J68" s="10" t="s">
        <v>208</v>
      </c>
      <c r="K68" s="10">
        <v>0.4</v>
      </c>
      <c r="L68" s="11">
        <f>K68*C68</f>
        <v>59.391200000000005</v>
      </c>
      <c r="M68" s="10">
        <v>0.1</v>
      </c>
      <c r="N68" s="11">
        <f>M68*C68</f>
        <v>14.847800000000001</v>
      </c>
      <c r="O68" s="10"/>
      <c r="P68" s="11">
        <f>O68*C68</f>
        <v>0</v>
      </c>
      <c r="Q68" s="10"/>
      <c r="R68" s="11">
        <f>Q68*C68</f>
        <v>0</v>
      </c>
      <c r="S68" s="10">
        <v>0.5</v>
      </c>
      <c r="T68" s="11">
        <f>S68*C68</f>
        <v>74.239000000000004</v>
      </c>
    </row>
    <row r="69" spans="1:20" outlineLevel="2" x14ac:dyDescent="0.2">
      <c r="A69" s="7" t="s">
        <v>123</v>
      </c>
      <c r="B69" s="8" t="s">
        <v>110</v>
      </c>
      <c r="C69" s="9">
        <v>92.534000000000006</v>
      </c>
      <c r="D69" s="9">
        <v>13391.53</v>
      </c>
      <c r="E69" s="8">
        <v>630</v>
      </c>
      <c r="F69" s="8">
        <v>1</v>
      </c>
      <c r="G69" s="9">
        <v>0</v>
      </c>
      <c r="H69" s="8" t="s">
        <v>48</v>
      </c>
      <c r="I69" s="10" t="s">
        <v>219</v>
      </c>
      <c r="J69" s="10" t="s">
        <v>208</v>
      </c>
      <c r="K69" s="10">
        <v>0.4</v>
      </c>
      <c r="L69" s="11">
        <f>K69*C69</f>
        <v>37.013600000000004</v>
      </c>
      <c r="M69" s="10">
        <v>0.1</v>
      </c>
      <c r="N69" s="11">
        <f>M69*C69</f>
        <v>9.253400000000001</v>
      </c>
      <c r="O69" s="10"/>
      <c r="P69" s="11">
        <f>O69*C69</f>
        <v>0</v>
      </c>
      <c r="Q69" s="10"/>
      <c r="R69" s="11">
        <f>Q69*C69</f>
        <v>0</v>
      </c>
      <c r="S69" s="10">
        <v>0.5</v>
      </c>
      <c r="T69" s="11">
        <f>S69*C69</f>
        <v>46.267000000000003</v>
      </c>
    </row>
    <row r="70" spans="1:20" outlineLevel="2" x14ac:dyDescent="0.2">
      <c r="A70" s="7" t="s">
        <v>46</v>
      </c>
      <c r="B70" s="8" t="s">
        <v>47</v>
      </c>
      <c r="C70" s="9">
        <v>553.09199999999998</v>
      </c>
      <c r="D70" s="9">
        <v>62946.32</v>
      </c>
      <c r="E70" s="8">
        <v>1492</v>
      </c>
      <c r="F70" s="8">
        <v>0</v>
      </c>
      <c r="G70" s="9">
        <v>0</v>
      </c>
      <c r="H70" s="8" t="s">
        <v>48</v>
      </c>
      <c r="I70" s="10" t="s">
        <v>219</v>
      </c>
      <c r="J70" s="10" t="s">
        <v>208</v>
      </c>
      <c r="K70" s="10">
        <v>0.7</v>
      </c>
      <c r="L70" s="11">
        <f>K70*C70</f>
        <v>387.16439999999994</v>
      </c>
      <c r="M70" s="10"/>
      <c r="N70" s="11">
        <f>M70*C70</f>
        <v>0</v>
      </c>
      <c r="O70" s="10"/>
      <c r="P70" s="11">
        <f>O70*C70</f>
        <v>0</v>
      </c>
      <c r="Q70" s="10"/>
      <c r="R70" s="11">
        <f>Q70*C70</f>
        <v>0</v>
      </c>
      <c r="S70" s="10">
        <v>0.5</v>
      </c>
      <c r="T70" s="11">
        <f>S70*C70</f>
        <v>276.54599999999999</v>
      </c>
    </row>
    <row r="71" spans="1:20" outlineLevel="1" x14ac:dyDescent="0.2">
      <c r="A71" s="7"/>
      <c r="B71" s="8"/>
      <c r="C71" s="9"/>
      <c r="D71" s="9"/>
      <c r="E71" s="8"/>
      <c r="F71" s="8"/>
      <c r="G71" s="9"/>
      <c r="H71" s="8"/>
      <c r="I71" s="12" t="s">
        <v>232</v>
      </c>
      <c r="J71" s="10"/>
      <c r="K71" s="10"/>
      <c r="L71" s="17">
        <f>SUBTOTAL(9,L67:L70)</f>
        <v>669.34780000000001</v>
      </c>
      <c r="M71" s="10"/>
      <c r="N71" s="17">
        <f>SUBTOTAL(9,N67:N70)</f>
        <v>24.101200000000002</v>
      </c>
      <c r="O71" s="10"/>
      <c r="P71" s="11"/>
      <c r="Q71" s="10"/>
      <c r="R71" s="11"/>
      <c r="S71" s="10"/>
      <c r="T71" s="11"/>
    </row>
    <row r="72" spans="1:20" outlineLevel="2" x14ac:dyDescent="0.2">
      <c r="A72" s="7" t="s">
        <v>148</v>
      </c>
      <c r="B72" s="8" t="s">
        <v>149</v>
      </c>
      <c r="C72" s="9">
        <v>33.473999999999997</v>
      </c>
      <c r="D72" s="9">
        <v>3765.14</v>
      </c>
      <c r="E72" s="8">
        <v>262</v>
      </c>
      <c r="F72" s="8">
        <v>0</v>
      </c>
      <c r="G72" s="9">
        <v>0</v>
      </c>
      <c r="H72" s="8" t="s">
        <v>48</v>
      </c>
      <c r="I72" s="10" t="s">
        <v>223</v>
      </c>
      <c r="J72" s="10" t="s">
        <v>208</v>
      </c>
      <c r="K72" s="10">
        <v>0.7</v>
      </c>
      <c r="L72" s="11">
        <f>K72*C72</f>
        <v>23.431799999999996</v>
      </c>
      <c r="M72" s="10">
        <v>0.1</v>
      </c>
      <c r="N72" s="11">
        <f>M72*C72</f>
        <v>3.3473999999999999</v>
      </c>
      <c r="O72" s="10"/>
      <c r="P72" s="11">
        <f>O72*C72</f>
        <v>0</v>
      </c>
      <c r="Q72" s="10"/>
      <c r="R72" s="11">
        <f>Q72*C72</f>
        <v>0</v>
      </c>
      <c r="S72" s="10">
        <v>0.2</v>
      </c>
      <c r="T72" s="11">
        <f>S72*C72</f>
        <v>6.6947999999999999</v>
      </c>
    </row>
    <row r="73" spans="1:20" outlineLevel="2" x14ac:dyDescent="0.2">
      <c r="A73" s="7" t="s">
        <v>187</v>
      </c>
      <c r="B73" s="8" t="s">
        <v>188</v>
      </c>
      <c r="C73" s="9">
        <v>-6.306</v>
      </c>
      <c r="D73" s="9">
        <v>0</v>
      </c>
      <c r="E73" s="8">
        <v>0</v>
      </c>
      <c r="F73" s="8">
        <v>0</v>
      </c>
      <c r="G73" s="9">
        <v>0</v>
      </c>
      <c r="H73" s="8" t="s">
        <v>48</v>
      </c>
      <c r="I73" s="10" t="s">
        <v>223</v>
      </c>
      <c r="J73" s="10" t="s">
        <v>208</v>
      </c>
      <c r="K73" s="10">
        <v>0.7</v>
      </c>
      <c r="L73" s="11">
        <f>K73*C73</f>
        <v>-4.4142000000000001</v>
      </c>
      <c r="M73" s="10">
        <v>0.1</v>
      </c>
      <c r="N73" s="11">
        <f>M73*C73</f>
        <v>-0.63060000000000005</v>
      </c>
      <c r="O73" s="10"/>
      <c r="P73" s="11">
        <f>O73*C73</f>
        <v>0</v>
      </c>
      <c r="Q73" s="10"/>
      <c r="R73" s="11">
        <f>Q73*C73</f>
        <v>0</v>
      </c>
      <c r="S73" s="10">
        <v>0.2</v>
      </c>
      <c r="T73" s="11">
        <f>S73*C73</f>
        <v>-1.2612000000000001</v>
      </c>
    </row>
    <row r="74" spans="1:20" outlineLevel="1" x14ac:dyDescent="0.2">
      <c r="A74" s="7"/>
      <c r="B74" s="8"/>
      <c r="C74" s="9"/>
      <c r="D74" s="9"/>
      <c r="E74" s="8"/>
      <c r="F74" s="8"/>
      <c r="G74" s="9"/>
      <c r="H74" s="8"/>
      <c r="I74" s="12" t="s">
        <v>233</v>
      </c>
      <c r="J74" s="10"/>
      <c r="K74" s="10"/>
      <c r="L74" s="17">
        <f>SUBTOTAL(9,L72:L73)</f>
        <v>19.017599999999995</v>
      </c>
      <c r="M74" s="10"/>
      <c r="N74" s="17">
        <f>SUBTOTAL(9,N72:N73)</f>
        <v>2.7168000000000001</v>
      </c>
      <c r="O74" s="10"/>
      <c r="P74" s="11"/>
      <c r="Q74" s="10"/>
      <c r="R74" s="11"/>
      <c r="S74" s="10"/>
      <c r="T74" s="11"/>
    </row>
    <row r="75" spans="1:20" outlineLevel="2" x14ac:dyDescent="0.2">
      <c r="A75" s="7" t="s">
        <v>41</v>
      </c>
      <c r="B75" s="8" t="s">
        <v>42</v>
      </c>
      <c r="C75" s="9">
        <v>623.97400000000005</v>
      </c>
      <c r="D75" s="9">
        <v>58474.99</v>
      </c>
      <c r="E75" s="8">
        <v>335</v>
      </c>
      <c r="F75" s="8">
        <v>1</v>
      </c>
      <c r="G75" s="9">
        <v>0</v>
      </c>
      <c r="H75" s="8" t="s">
        <v>24</v>
      </c>
      <c r="I75" s="10" t="s">
        <v>220</v>
      </c>
      <c r="J75" s="10" t="s">
        <v>208</v>
      </c>
      <c r="K75" s="10">
        <v>0.5</v>
      </c>
      <c r="L75" s="11">
        <f>K75*C75</f>
        <v>311.98700000000002</v>
      </c>
      <c r="M75" s="10"/>
      <c r="N75" s="11">
        <f>M75*C75</f>
        <v>0</v>
      </c>
      <c r="O75" s="10"/>
      <c r="P75" s="11">
        <f>O75*C75</f>
        <v>0</v>
      </c>
      <c r="Q75" s="10"/>
      <c r="R75" s="11">
        <f>Q75*C75</f>
        <v>0</v>
      </c>
      <c r="S75" s="10">
        <v>0.5</v>
      </c>
      <c r="T75" s="11">
        <f>S75*C75</f>
        <v>311.98700000000002</v>
      </c>
    </row>
    <row r="76" spans="1:20" outlineLevel="2" x14ac:dyDescent="0.2">
      <c r="A76" s="7" t="s">
        <v>22</v>
      </c>
      <c r="B76" s="8" t="s">
        <v>23</v>
      </c>
      <c r="C76" s="9">
        <v>1234.672</v>
      </c>
      <c r="D76" s="9">
        <v>103605.41</v>
      </c>
      <c r="E76" s="8">
        <v>849</v>
      </c>
      <c r="F76" s="8">
        <v>6</v>
      </c>
      <c r="G76" s="9">
        <v>0</v>
      </c>
      <c r="H76" s="8" t="s">
        <v>24</v>
      </c>
      <c r="I76" s="10" t="s">
        <v>220</v>
      </c>
      <c r="J76" s="10" t="s">
        <v>208</v>
      </c>
      <c r="K76" s="10">
        <v>0.5</v>
      </c>
      <c r="L76" s="11">
        <f>K76*C76</f>
        <v>617.33600000000001</v>
      </c>
      <c r="M76" s="10"/>
      <c r="N76" s="11">
        <f>M76*C76</f>
        <v>0</v>
      </c>
      <c r="O76" s="10"/>
      <c r="P76" s="11">
        <f>O76*C76</f>
        <v>0</v>
      </c>
      <c r="Q76" s="10"/>
      <c r="R76" s="11">
        <f>Q76*C76</f>
        <v>0</v>
      </c>
      <c r="S76" s="10">
        <v>0.5</v>
      </c>
      <c r="T76" s="11">
        <f>S76*C76</f>
        <v>617.33600000000001</v>
      </c>
    </row>
    <row r="77" spans="1:20" outlineLevel="1" x14ac:dyDescent="0.2">
      <c r="A77" s="7"/>
      <c r="B77" s="8"/>
      <c r="C77" s="9"/>
      <c r="D77" s="9"/>
      <c r="E77" s="8"/>
      <c r="F77" s="8"/>
      <c r="G77" s="9"/>
      <c r="H77" s="8"/>
      <c r="I77" s="12" t="s">
        <v>234</v>
      </c>
      <c r="J77" s="10"/>
      <c r="K77" s="10"/>
      <c r="L77" s="17">
        <f>SUBTOTAL(9,L75:L76)</f>
        <v>929.32300000000009</v>
      </c>
      <c r="M77" s="10"/>
      <c r="N77" s="11">
        <f>SUBTOTAL(9,N75:N76)</f>
        <v>0</v>
      </c>
      <c r="O77" s="10"/>
      <c r="P77" s="11"/>
      <c r="Q77" s="10"/>
      <c r="R77" s="11"/>
      <c r="S77" s="10"/>
      <c r="T77" s="11"/>
    </row>
    <row r="78" spans="1:20" outlineLevel="2" x14ac:dyDescent="0.2">
      <c r="A78" s="7" t="s">
        <v>65</v>
      </c>
      <c r="B78" s="8" t="s">
        <v>66</v>
      </c>
      <c r="C78" s="9">
        <v>285.36649999999997</v>
      </c>
      <c r="D78" s="9">
        <v>26315.68</v>
      </c>
      <c r="E78" s="8">
        <v>667</v>
      </c>
      <c r="F78" s="8">
        <v>0</v>
      </c>
      <c r="G78" s="9">
        <v>0</v>
      </c>
      <c r="H78" s="8" t="s">
        <v>67</v>
      </c>
      <c r="I78" s="10" t="s">
        <v>224</v>
      </c>
      <c r="J78" s="10" t="s">
        <v>208</v>
      </c>
      <c r="K78" s="10">
        <v>0.5</v>
      </c>
      <c r="L78" s="11">
        <f>K78*C78</f>
        <v>142.68324999999999</v>
      </c>
      <c r="M78" s="10"/>
      <c r="N78" s="11">
        <f>M78*C78</f>
        <v>0</v>
      </c>
      <c r="O78" s="10"/>
      <c r="P78" s="11">
        <f>O78*C78</f>
        <v>0</v>
      </c>
      <c r="Q78" s="10"/>
      <c r="R78" s="11">
        <f>Q78*C78</f>
        <v>0</v>
      </c>
      <c r="S78" s="10">
        <v>0.5</v>
      </c>
      <c r="T78" s="11">
        <f>S78*C78</f>
        <v>142.68324999999999</v>
      </c>
    </row>
    <row r="79" spans="1:20" outlineLevel="1" x14ac:dyDescent="0.2">
      <c r="A79" s="7"/>
      <c r="B79" s="8"/>
      <c r="C79" s="9"/>
      <c r="D79" s="9"/>
      <c r="E79" s="8"/>
      <c r="F79" s="8"/>
      <c r="G79" s="9"/>
      <c r="H79" s="8"/>
      <c r="I79" s="12" t="s">
        <v>235</v>
      </c>
      <c r="J79" s="10"/>
      <c r="K79" s="10"/>
      <c r="L79" s="17">
        <f>SUBTOTAL(9,L78:L78)</f>
        <v>142.68324999999999</v>
      </c>
      <c r="M79" s="10"/>
      <c r="N79" s="11">
        <f>SUBTOTAL(9,N78:N78)</f>
        <v>0</v>
      </c>
      <c r="O79" s="10"/>
      <c r="P79" s="11"/>
      <c r="Q79" s="10"/>
      <c r="R79" s="11"/>
      <c r="S79" s="10"/>
      <c r="T79" s="11"/>
    </row>
    <row r="80" spans="1:20" outlineLevel="2" x14ac:dyDescent="0.2">
      <c r="A80" s="7" t="s">
        <v>70</v>
      </c>
      <c r="B80" s="8" t="s">
        <v>71</v>
      </c>
      <c r="C80" s="9">
        <v>274.786</v>
      </c>
      <c r="D80" s="9">
        <v>38821.06</v>
      </c>
      <c r="E80" s="8">
        <v>1314</v>
      </c>
      <c r="F80" s="8">
        <v>0</v>
      </c>
      <c r="G80" s="9">
        <v>0</v>
      </c>
      <c r="H80" s="8" t="s">
        <v>11</v>
      </c>
      <c r="I80" s="10" t="s">
        <v>221</v>
      </c>
      <c r="J80" s="10" t="s">
        <v>208</v>
      </c>
      <c r="K80" s="10">
        <v>0.7</v>
      </c>
      <c r="L80" s="11">
        <f>K80*C80</f>
        <v>192.3502</v>
      </c>
      <c r="M80" s="10"/>
      <c r="N80" s="11">
        <f>M80*C80</f>
        <v>0</v>
      </c>
      <c r="O80" s="10"/>
      <c r="P80" s="11">
        <f>O80*C80</f>
        <v>0</v>
      </c>
      <c r="Q80" s="10"/>
      <c r="R80" s="11">
        <f>Q80*C80</f>
        <v>0</v>
      </c>
      <c r="S80" s="10">
        <v>0.3</v>
      </c>
      <c r="T80" s="11">
        <f>S80*C80</f>
        <v>82.4358</v>
      </c>
    </row>
    <row r="81" spans="1:21" outlineLevel="1" x14ac:dyDescent="0.2">
      <c r="A81" s="7"/>
      <c r="B81" s="8"/>
      <c r="C81" s="9"/>
      <c r="D81" s="9"/>
      <c r="E81" s="8"/>
      <c r="F81" s="8"/>
      <c r="G81" s="9"/>
      <c r="H81" s="8"/>
      <c r="I81" s="12" t="s">
        <v>236</v>
      </c>
      <c r="J81" s="10"/>
      <c r="K81" s="10"/>
      <c r="L81" s="17">
        <f>SUBTOTAL(9,L80:L80)</f>
        <v>192.3502</v>
      </c>
      <c r="M81" s="10"/>
      <c r="N81" s="11">
        <f>SUBTOTAL(9,N80:N80)</f>
        <v>0</v>
      </c>
      <c r="O81" s="10"/>
      <c r="P81" s="11"/>
      <c r="Q81" s="10"/>
      <c r="R81" s="11"/>
      <c r="S81" s="10"/>
      <c r="T81" s="11"/>
    </row>
    <row r="82" spans="1:21" outlineLevel="2" x14ac:dyDescent="0.2">
      <c r="A82" s="7" t="s">
        <v>150</v>
      </c>
      <c r="B82" s="8" t="s">
        <v>151</v>
      </c>
      <c r="C82" s="9">
        <v>33.1875</v>
      </c>
      <c r="D82" s="9">
        <v>0</v>
      </c>
      <c r="E82" s="8">
        <v>0</v>
      </c>
      <c r="F82" s="8">
        <v>0</v>
      </c>
      <c r="G82" s="9">
        <v>0</v>
      </c>
      <c r="H82" s="8" t="s">
        <v>94</v>
      </c>
      <c r="I82" s="10" t="s">
        <v>215</v>
      </c>
      <c r="J82" s="10" t="s">
        <v>210</v>
      </c>
      <c r="K82" s="10">
        <v>0.4</v>
      </c>
      <c r="L82" s="11">
        <f>K82*C82</f>
        <v>13.275</v>
      </c>
      <c r="M82" s="10"/>
      <c r="N82" s="11">
        <f>M82*C82</f>
        <v>0</v>
      </c>
      <c r="O82" s="10">
        <v>0.35</v>
      </c>
      <c r="P82" s="11">
        <f>O82*C82</f>
        <v>11.615625</v>
      </c>
      <c r="Q82" s="10">
        <v>0.25</v>
      </c>
      <c r="R82" s="11">
        <f>Q82*C82</f>
        <v>8.296875</v>
      </c>
      <c r="S82" s="10"/>
      <c r="T82" s="11">
        <f>S82*C82</f>
        <v>0</v>
      </c>
    </row>
    <row r="83" spans="1:21" outlineLevel="2" x14ac:dyDescent="0.2">
      <c r="A83" s="7" t="s">
        <v>154</v>
      </c>
      <c r="B83" s="8" t="s">
        <v>155</v>
      </c>
      <c r="C83" s="9">
        <v>26.24</v>
      </c>
      <c r="D83" s="9">
        <v>477.5</v>
      </c>
      <c r="E83" s="8">
        <v>5</v>
      </c>
      <c r="F83" s="8">
        <v>0</v>
      </c>
      <c r="G83" s="9">
        <v>0</v>
      </c>
      <c r="H83" s="8" t="s">
        <v>94</v>
      </c>
      <c r="I83" s="10" t="s">
        <v>215</v>
      </c>
      <c r="J83" s="10" t="s">
        <v>210</v>
      </c>
      <c r="K83" s="10">
        <v>0.4</v>
      </c>
      <c r="L83" s="11">
        <f>K83*C83</f>
        <v>10.496</v>
      </c>
      <c r="M83" s="10"/>
      <c r="N83" s="11">
        <f>M83*C83</f>
        <v>0</v>
      </c>
      <c r="O83" s="10">
        <v>0.35</v>
      </c>
      <c r="P83" s="11">
        <f>O83*C83</f>
        <v>9.1839999999999993</v>
      </c>
      <c r="Q83" s="10">
        <v>0.25</v>
      </c>
      <c r="R83" s="11">
        <f>Q83*C83</f>
        <v>6.56</v>
      </c>
      <c r="S83" s="10"/>
      <c r="T83" s="11">
        <f>S83*C83</f>
        <v>0</v>
      </c>
    </row>
    <row r="84" spans="1:21" outlineLevel="2" x14ac:dyDescent="0.2">
      <c r="A84" s="7" t="s">
        <v>142</v>
      </c>
      <c r="B84" s="8" t="s">
        <v>143</v>
      </c>
      <c r="C84" s="9">
        <v>42.625</v>
      </c>
      <c r="D84" s="9">
        <v>3323.9</v>
      </c>
      <c r="E84" s="8">
        <v>3</v>
      </c>
      <c r="F84" s="8">
        <v>0</v>
      </c>
      <c r="G84" s="9">
        <v>0</v>
      </c>
      <c r="H84" s="8" t="s">
        <v>94</v>
      </c>
      <c r="I84" s="10" t="s">
        <v>215</v>
      </c>
      <c r="J84" s="10" t="s">
        <v>210</v>
      </c>
      <c r="K84" s="10">
        <v>0.4</v>
      </c>
      <c r="L84" s="11">
        <f>K84*C84</f>
        <v>17.05</v>
      </c>
      <c r="M84" s="10"/>
      <c r="N84" s="11">
        <f>M84*C84</f>
        <v>0</v>
      </c>
      <c r="O84" s="10">
        <v>0.35</v>
      </c>
      <c r="P84" s="11">
        <f>O84*C84</f>
        <v>14.918749999999999</v>
      </c>
      <c r="Q84" s="10">
        <v>0.25</v>
      </c>
      <c r="R84" s="11">
        <f>Q84*C84</f>
        <v>10.65625</v>
      </c>
      <c r="S84" s="10"/>
      <c r="T84" s="11">
        <f>S84*C84</f>
        <v>0</v>
      </c>
    </row>
    <row r="85" spans="1:21" outlineLevel="2" x14ac:dyDescent="0.2">
      <c r="A85" s="7" t="s">
        <v>92</v>
      </c>
      <c r="B85" s="8" t="s">
        <v>93</v>
      </c>
      <c r="C85" s="9">
        <v>225.048</v>
      </c>
      <c r="D85" s="9">
        <v>21960.32</v>
      </c>
      <c r="E85" s="8">
        <v>587</v>
      </c>
      <c r="F85" s="8">
        <v>0</v>
      </c>
      <c r="G85" s="9">
        <v>0</v>
      </c>
      <c r="H85" s="8" t="s">
        <v>94</v>
      </c>
      <c r="I85" s="10" t="s">
        <v>215</v>
      </c>
      <c r="J85" s="10" t="s">
        <v>208</v>
      </c>
      <c r="K85" s="10">
        <v>0.6</v>
      </c>
      <c r="L85" s="11">
        <f>K85*C85</f>
        <v>135.02879999999999</v>
      </c>
      <c r="M85" s="10"/>
      <c r="N85" s="11">
        <f>M85*C85</f>
        <v>0</v>
      </c>
      <c r="O85" s="10"/>
      <c r="P85" s="11">
        <f>O85*C85</f>
        <v>0</v>
      </c>
      <c r="Q85" s="10">
        <v>0.4</v>
      </c>
      <c r="R85" s="11">
        <f>Q85*C85</f>
        <v>90.019200000000012</v>
      </c>
      <c r="S85" s="10"/>
      <c r="T85" s="11">
        <f>S85*C85</f>
        <v>0</v>
      </c>
    </row>
    <row r="86" spans="1:21" outlineLevel="1" x14ac:dyDescent="0.2">
      <c r="A86" s="7"/>
      <c r="B86" s="8"/>
      <c r="C86" s="9"/>
      <c r="D86" s="9"/>
      <c r="E86" s="8"/>
      <c r="F86" s="8"/>
      <c r="G86" s="9"/>
      <c r="H86" s="8"/>
      <c r="I86" s="12" t="s">
        <v>237</v>
      </c>
      <c r="J86" s="10"/>
      <c r="K86" s="10"/>
      <c r="L86" s="17">
        <f>SUBTOTAL(9,L82:L85)</f>
        <v>175.84979999999999</v>
      </c>
      <c r="M86" s="10"/>
      <c r="N86" s="11">
        <f>SUBTOTAL(9,N82:N85)</f>
        <v>0</v>
      </c>
      <c r="O86" s="10"/>
      <c r="P86" s="11"/>
      <c r="Q86" s="10"/>
      <c r="R86" s="11"/>
      <c r="S86" s="10"/>
      <c r="T86" s="11"/>
    </row>
    <row r="87" spans="1:21" outlineLevel="2" x14ac:dyDescent="0.2">
      <c r="A87" s="7" t="s">
        <v>182</v>
      </c>
      <c r="B87" s="8" t="s">
        <v>183</v>
      </c>
      <c r="C87" s="9">
        <v>-4.3125</v>
      </c>
      <c r="D87" s="9">
        <v>0</v>
      </c>
      <c r="E87" s="8">
        <v>0</v>
      </c>
      <c r="F87" s="8">
        <v>0</v>
      </c>
      <c r="G87" s="9">
        <v>0</v>
      </c>
      <c r="H87" s="8" t="s">
        <v>184</v>
      </c>
      <c r="I87" s="10" t="s">
        <v>222</v>
      </c>
      <c r="J87" s="10" t="s">
        <v>208</v>
      </c>
      <c r="K87" s="10">
        <v>0.8</v>
      </c>
      <c r="L87" s="11">
        <f>K87*C87</f>
        <v>-3.45</v>
      </c>
      <c r="M87" s="10"/>
      <c r="N87" s="11">
        <f>M87*C87</f>
        <v>0</v>
      </c>
      <c r="O87" s="10"/>
      <c r="P87" s="11">
        <f>O87*C87</f>
        <v>0</v>
      </c>
      <c r="Q87" s="10">
        <v>0.2</v>
      </c>
      <c r="R87" s="11">
        <f>Q87*C87</f>
        <v>-0.86250000000000004</v>
      </c>
      <c r="S87" s="10"/>
      <c r="T87" s="11">
        <f>S87*C87</f>
        <v>0</v>
      </c>
    </row>
    <row r="88" spans="1:21" outlineLevel="1" x14ac:dyDescent="0.2">
      <c r="A88" s="7"/>
      <c r="B88" s="8"/>
      <c r="C88" s="9"/>
      <c r="D88" s="9"/>
      <c r="E88" s="8"/>
      <c r="F88" s="8"/>
      <c r="G88" s="9"/>
      <c r="H88" s="8"/>
      <c r="I88" s="12" t="s">
        <v>238</v>
      </c>
      <c r="J88" s="10"/>
      <c r="K88" s="10"/>
      <c r="L88" s="19">
        <f>SUBTOTAL(9,L87:L87)</f>
        <v>-3.45</v>
      </c>
      <c r="M88" s="10"/>
      <c r="N88" s="11">
        <f>SUBTOTAL(9,N87:N87)</f>
        <v>0</v>
      </c>
      <c r="O88" s="10"/>
      <c r="P88" s="11"/>
      <c r="Q88" s="10"/>
      <c r="R88" s="11"/>
      <c r="S88" s="10"/>
      <c r="T88" s="11"/>
    </row>
    <row r="89" spans="1:21" outlineLevel="2" x14ac:dyDescent="0.2">
      <c r="A89" s="7" t="s">
        <v>119</v>
      </c>
      <c r="B89" s="8" t="s">
        <v>120</v>
      </c>
      <c r="C89" s="9">
        <v>114.64400000000001</v>
      </c>
      <c r="D89" s="9">
        <v>16751.11</v>
      </c>
      <c r="E89" s="8">
        <v>1107</v>
      </c>
      <c r="F89" s="8">
        <v>0</v>
      </c>
      <c r="G89" s="9">
        <v>0</v>
      </c>
      <c r="H89" s="8" t="s">
        <v>56</v>
      </c>
      <c r="I89" s="10" t="s">
        <v>213</v>
      </c>
      <c r="J89" s="10" t="s">
        <v>208</v>
      </c>
      <c r="K89" s="10">
        <v>0.6</v>
      </c>
      <c r="L89" s="11">
        <f>K89*C89</f>
        <v>68.7864</v>
      </c>
      <c r="M89" s="10"/>
      <c r="N89" s="11">
        <f>M89*C89</f>
        <v>0</v>
      </c>
      <c r="O89" s="10"/>
      <c r="P89" s="11">
        <f>O89*C89</f>
        <v>0</v>
      </c>
      <c r="Q89" s="10">
        <v>0.4</v>
      </c>
      <c r="R89" s="11">
        <f>Q89*C89</f>
        <v>45.857600000000005</v>
      </c>
      <c r="S89" s="10"/>
      <c r="T89" s="11">
        <f>S89*C89</f>
        <v>0</v>
      </c>
    </row>
    <row r="90" spans="1:21" outlineLevel="2" x14ac:dyDescent="0.2">
      <c r="A90" s="7" t="s">
        <v>81</v>
      </c>
      <c r="B90" s="8" t="s">
        <v>82</v>
      </c>
      <c r="C90" s="9">
        <v>249.59200000000001</v>
      </c>
      <c r="D90" s="9">
        <v>31679.98</v>
      </c>
      <c r="E90" s="8">
        <v>1790</v>
      </c>
      <c r="F90" s="8">
        <v>0</v>
      </c>
      <c r="G90" s="9">
        <v>0</v>
      </c>
      <c r="H90" s="8" t="s">
        <v>56</v>
      </c>
      <c r="I90" s="10" t="s">
        <v>213</v>
      </c>
      <c r="J90" s="10" t="s">
        <v>210</v>
      </c>
      <c r="K90" s="10">
        <v>0.4</v>
      </c>
      <c r="L90" s="11">
        <f>K90*C90</f>
        <v>99.836800000000011</v>
      </c>
      <c r="M90" s="10"/>
      <c r="N90" s="11">
        <f>M90*C90</f>
        <v>0</v>
      </c>
      <c r="O90" s="10">
        <v>0.35</v>
      </c>
      <c r="P90" s="11">
        <f>O90*C90</f>
        <v>87.357200000000006</v>
      </c>
      <c r="Q90" s="10">
        <v>0.25</v>
      </c>
      <c r="R90" s="11">
        <f>Q90*C90</f>
        <v>62.398000000000003</v>
      </c>
      <c r="S90" s="10"/>
      <c r="T90" s="11">
        <f>S90*C90</f>
        <v>0</v>
      </c>
      <c r="U90" s="2"/>
    </row>
    <row r="91" spans="1:21" outlineLevel="2" x14ac:dyDescent="0.2">
      <c r="A91" s="7" t="s">
        <v>54</v>
      </c>
      <c r="B91" s="8" t="s">
        <v>55</v>
      </c>
      <c r="C91" s="9">
        <v>394.63249999999999</v>
      </c>
      <c r="D91" s="9">
        <v>46251.73</v>
      </c>
      <c r="E91" s="8">
        <v>145</v>
      </c>
      <c r="F91" s="8">
        <v>2</v>
      </c>
      <c r="G91" s="9">
        <v>0</v>
      </c>
      <c r="H91" s="8" t="s">
        <v>56</v>
      </c>
      <c r="I91" s="10" t="s">
        <v>213</v>
      </c>
      <c r="J91" s="10" t="s">
        <v>210</v>
      </c>
      <c r="K91" s="10">
        <v>0.4</v>
      </c>
      <c r="L91" s="11">
        <f>K91*C91</f>
        <v>157.85300000000001</v>
      </c>
      <c r="M91" s="10"/>
      <c r="N91" s="11">
        <f>M91*C91</f>
        <v>0</v>
      </c>
      <c r="O91" s="10">
        <v>0.35</v>
      </c>
      <c r="P91" s="11">
        <f>O91*C91</f>
        <v>138.121375</v>
      </c>
      <c r="Q91" s="10">
        <v>0.25</v>
      </c>
      <c r="R91" s="11">
        <f>Q91*C91</f>
        <v>98.658124999999998</v>
      </c>
      <c r="S91" s="10"/>
      <c r="T91" s="11">
        <f>S91*C91</f>
        <v>0</v>
      </c>
      <c r="U91" s="2"/>
    </row>
    <row r="92" spans="1:21" s="2" customFormat="1" outlineLevel="2" x14ac:dyDescent="0.2">
      <c r="A92" s="7" t="s">
        <v>130</v>
      </c>
      <c r="B92" s="8" t="s">
        <v>131</v>
      </c>
      <c r="C92" s="9">
        <v>73.69</v>
      </c>
      <c r="D92" s="9">
        <v>12225.76</v>
      </c>
      <c r="E92" s="8">
        <v>33</v>
      </c>
      <c r="F92" s="8">
        <v>0</v>
      </c>
      <c r="G92" s="9">
        <v>0</v>
      </c>
      <c r="H92" s="8" t="s">
        <v>56</v>
      </c>
      <c r="I92" s="10" t="s">
        <v>213</v>
      </c>
      <c r="J92" s="10" t="s">
        <v>210</v>
      </c>
      <c r="K92" s="10">
        <v>0.4</v>
      </c>
      <c r="L92" s="11">
        <f>K92*C92</f>
        <v>29.475999999999999</v>
      </c>
      <c r="M92" s="10"/>
      <c r="N92" s="11">
        <f>M92*C92</f>
        <v>0</v>
      </c>
      <c r="O92" s="10">
        <v>0.35</v>
      </c>
      <c r="P92" s="11">
        <f>O92*C92</f>
        <v>25.791499999999999</v>
      </c>
      <c r="Q92" s="10">
        <v>0.25</v>
      </c>
      <c r="R92" s="11">
        <f>Q92*C92</f>
        <v>18.422499999999999</v>
      </c>
      <c r="S92" s="10"/>
      <c r="T92" s="11">
        <f>S92*C92</f>
        <v>0</v>
      </c>
      <c r="U92"/>
    </row>
    <row r="93" spans="1:21" s="2" customFormat="1" outlineLevel="2" x14ac:dyDescent="0.2">
      <c r="A93" s="7" t="s">
        <v>146</v>
      </c>
      <c r="B93" s="8" t="s">
        <v>147</v>
      </c>
      <c r="C93" s="9">
        <v>35.107500000000002</v>
      </c>
      <c r="D93" s="9">
        <v>1310.4000000000001</v>
      </c>
      <c r="E93" s="8">
        <v>38</v>
      </c>
      <c r="F93" s="8">
        <v>0</v>
      </c>
      <c r="G93" s="9">
        <v>0</v>
      </c>
      <c r="H93" s="8" t="s">
        <v>56</v>
      </c>
      <c r="I93" s="10" t="s">
        <v>213</v>
      </c>
      <c r="J93" s="10" t="s">
        <v>210</v>
      </c>
      <c r="K93" s="10">
        <v>0.4</v>
      </c>
      <c r="L93" s="11">
        <f>K93*C93</f>
        <v>14.043000000000001</v>
      </c>
      <c r="M93" s="10"/>
      <c r="N93" s="11">
        <f>M93*C93</f>
        <v>0</v>
      </c>
      <c r="O93" s="10">
        <v>0.35</v>
      </c>
      <c r="P93" s="11">
        <f>O93*C93</f>
        <v>12.287625</v>
      </c>
      <c r="Q93" s="10">
        <v>0.25</v>
      </c>
      <c r="R93" s="11">
        <f>Q93*C93</f>
        <v>8.7768750000000004</v>
      </c>
      <c r="S93" s="10"/>
      <c r="T93" s="11">
        <f>S93*C93</f>
        <v>0</v>
      </c>
      <c r="U93"/>
    </row>
    <row r="94" spans="1:21" s="2" customFormat="1" outlineLevel="1" x14ac:dyDescent="0.2">
      <c r="A94" s="7"/>
      <c r="B94" s="8"/>
      <c r="C94" s="9"/>
      <c r="D94" s="9"/>
      <c r="E94" s="8"/>
      <c r="F94" s="8"/>
      <c r="G94" s="9"/>
      <c r="H94" s="8"/>
      <c r="I94" s="12" t="s">
        <v>239</v>
      </c>
      <c r="J94" s="10"/>
      <c r="K94" s="10"/>
      <c r="L94" s="17">
        <f>SUBTOTAL(9,L89:L93)</f>
        <v>369.99520000000001</v>
      </c>
      <c r="M94" s="10"/>
      <c r="N94" s="11">
        <f>SUBTOTAL(9,N89:N93)</f>
        <v>0</v>
      </c>
      <c r="O94" s="10"/>
      <c r="P94" s="11"/>
      <c r="Q94" s="10"/>
      <c r="R94" s="11"/>
      <c r="S94" s="10"/>
      <c r="T94" s="11"/>
      <c r="U94"/>
    </row>
    <row r="95" spans="1:21" outlineLevel="2" x14ac:dyDescent="0.2">
      <c r="A95" s="7" t="s">
        <v>166</v>
      </c>
      <c r="B95" s="8" t="s">
        <v>167</v>
      </c>
      <c r="C95" s="9">
        <v>14.4375</v>
      </c>
      <c r="D95" s="9">
        <v>0</v>
      </c>
      <c r="E95" s="8">
        <v>0</v>
      </c>
      <c r="F95" s="8">
        <v>0</v>
      </c>
      <c r="G95" s="9">
        <v>0</v>
      </c>
      <c r="H95" s="8" t="s">
        <v>53</v>
      </c>
      <c r="I95" s="10" t="s">
        <v>209</v>
      </c>
      <c r="J95" s="10" t="s">
        <v>210</v>
      </c>
      <c r="K95" s="10">
        <v>0.4</v>
      </c>
      <c r="L95" s="11">
        <f>K95*C95</f>
        <v>5.7750000000000004</v>
      </c>
      <c r="M95" s="10"/>
      <c r="N95" s="11">
        <f>M95*C95</f>
        <v>0</v>
      </c>
      <c r="O95" s="10">
        <v>0.35</v>
      </c>
      <c r="P95" s="11">
        <f>O95*C95</f>
        <v>5.0531249999999996</v>
      </c>
      <c r="Q95" s="10">
        <v>0.25</v>
      </c>
      <c r="R95" s="11">
        <f>Q95*C95</f>
        <v>3.609375</v>
      </c>
      <c r="S95" s="10"/>
      <c r="T95" s="11">
        <f>S95*C95</f>
        <v>0</v>
      </c>
    </row>
    <row r="96" spans="1:21" outlineLevel="2" x14ac:dyDescent="0.2">
      <c r="A96" s="7" t="s">
        <v>51</v>
      </c>
      <c r="B96" s="8" t="s">
        <v>52</v>
      </c>
      <c r="C96" s="9">
        <v>422.64</v>
      </c>
      <c r="D96" s="9">
        <v>48280.74</v>
      </c>
      <c r="E96" s="8">
        <v>180</v>
      </c>
      <c r="F96" s="8">
        <v>9</v>
      </c>
      <c r="G96" s="9">
        <v>0</v>
      </c>
      <c r="H96" s="8" t="s">
        <v>53</v>
      </c>
      <c r="I96" s="10" t="s">
        <v>209</v>
      </c>
      <c r="J96" s="10" t="s">
        <v>210</v>
      </c>
      <c r="K96" s="10">
        <v>0.4</v>
      </c>
      <c r="L96" s="11">
        <f>K96*C96</f>
        <v>169.05600000000001</v>
      </c>
      <c r="M96" s="10"/>
      <c r="N96" s="11">
        <f>M96*C96</f>
        <v>0</v>
      </c>
      <c r="O96" s="10">
        <v>0.35</v>
      </c>
      <c r="P96" s="11">
        <f>O96*C96</f>
        <v>147.92399999999998</v>
      </c>
      <c r="Q96" s="10">
        <v>0.25</v>
      </c>
      <c r="R96" s="11">
        <f>Q96*C96</f>
        <v>105.66</v>
      </c>
      <c r="S96" s="10"/>
      <c r="T96" s="11">
        <f>S96*C96</f>
        <v>0</v>
      </c>
    </row>
    <row r="97" spans="1:20" outlineLevel="2" x14ac:dyDescent="0.2">
      <c r="A97" s="7" t="s">
        <v>180</v>
      </c>
      <c r="B97" s="8" t="s">
        <v>181</v>
      </c>
      <c r="C97" s="9">
        <v>-4.3125</v>
      </c>
      <c r="D97" s="9">
        <v>0</v>
      </c>
      <c r="E97" s="8">
        <v>0</v>
      </c>
      <c r="F97" s="8">
        <v>0</v>
      </c>
      <c r="G97" s="9">
        <v>0</v>
      </c>
      <c r="H97" s="8" t="s">
        <v>53</v>
      </c>
      <c r="I97" s="10" t="s">
        <v>209</v>
      </c>
      <c r="J97" s="10" t="s">
        <v>208</v>
      </c>
      <c r="K97" s="10">
        <v>0.6</v>
      </c>
      <c r="L97" s="11">
        <f>K97*C97</f>
        <v>-2.5874999999999999</v>
      </c>
      <c r="M97" s="10"/>
      <c r="N97" s="11">
        <f>M97*C97</f>
        <v>0</v>
      </c>
      <c r="O97" s="10"/>
      <c r="P97" s="11">
        <f>O97*C97</f>
        <v>0</v>
      </c>
      <c r="Q97" s="10">
        <v>0.4</v>
      </c>
      <c r="R97" s="11">
        <f>Q97*C97</f>
        <v>-1.7250000000000001</v>
      </c>
      <c r="S97" s="10"/>
      <c r="T97" s="11">
        <f>S97*C97</f>
        <v>0</v>
      </c>
    </row>
    <row r="98" spans="1:20" outlineLevel="2" x14ac:dyDescent="0.2">
      <c r="A98" s="7" t="s">
        <v>68</v>
      </c>
      <c r="B98" s="8" t="s">
        <v>69</v>
      </c>
      <c r="C98" s="9">
        <v>278.38249999999999</v>
      </c>
      <c r="D98" s="9">
        <v>24525.42</v>
      </c>
      <c r="E98" s="8">
        <v>527</v>
      </c>
      <c r="F98" s="8">
        <v>2</v>
      </c>
      <c r="G98" s="9">
        <v>0</v>
      </c>
      <c r="H98" s="8" t="s">
        <v>53</v>
      </c>
      <c r="I98" s="13" t="s">
        <v>209</v>
      </c>
      <c r="J98" s="10" t="s">
        <v>210</v>
      </c>
      <c r="K98" s="10">
        <v>0.4</v>
      </c>
      <c r="L98" s="11">
        <f>K98*C98</f>
        <v>111.35300000000001</v>
      </c>
      <c r="M98" s="10"/>
      <c r="N98" s="11">
        <f>M98*C98</f>
        <v>0</v>
      </c>
      <c r="O98" s="10">
        <v>0.35</v>
      </c>
      <c r="P98" s="11">
        <f>O98*C98</f>
        <v>97.433874999999986</v>
      </c>
      <c r="Q98" s="10">
        <v>0.25</v>
      </c>
      <c r="R98" s="11">
        <f>Q98*C98</f>
        <v>69.595624999999998</v>
      </c>
      <c r="S98" s="10"/>
      <c r="T98" s="11">
        <f>S98*C98</f>
        <v>0</v>
      </c>
    </row>
    <row r="99" spans="1:20" outlineLevel="2" x14ac:dyDescent="0.2">
      <c r="A99" s="7" t="s">
        <v>95</v>
      </c>
      <c r="B99" s="8" t="s">
        <v>96</v>
      </c>
      <c r="C99" s="9">
        <v>204.51599999999999</v>
      </c>
      <c r="D99" s="9">
        <v>17721.03</v>
      </c>
      <c r="E99" s="8">
        <v>566</v>
      </c>
      <c r="F99" s="8">
        <v>0</v>
      </c>
      <c r="G99" s="9">
        <v>0</v>
      </c>
      <c r="H99" s="8" t="s">
        <v>53</v>
      </c>
      <c r="I99" s="10" t="s">
        <v>209</v>
      </c>
      <c r="J99" s="10" t="s">
        <v>210</v>
      </c>
      <c r="K99" s="10">
        <v>0.4</v>
      </c>
      <c r="L99" s="11">
        <f>K99*C99</f>
        <v>81.806399999999996</v>
      </c>
      <c r="M99" s="10"/>
      <c r="N99" s="11">
        <f>M99*C99</f>
        <v>0</v>
      </c>
      <c r="O99" s="10">
        <v>0.35</v>
      </c>
      <c r="P99" s="11">
        <f>O99*C99</f>
        <v>71.58059999999999</v>
      </c>
      <c r="Q99" s="10">
        <v>0.25</v>
      </c>
      <c r="R99" s="11">
        <f>Q99*C99</f>
        <v>51.128999999999998</v>
      </c>
      <c r="S99" s="10"/>
      <c r="T99" s="11">
        <f>S99*C99</f>
        <v>0</v>
      </c>
    </row>
    <row r="100" spans="1:20" outlineLevel="1" x14ac:dyDescent="0.2">
      <c r="I100" s="15" t="s">
        <v>240</v>
      </c>
      <c r="J100" s="13"/>
      <c r="K100" s="13"/>
      <c r="L100" s="18">
        <f>SUBTOTAL(9,L95:L99)</f>
        <v>365.40289999999999</v>
      </c>
      <c r="M100" s="13"/>
      <c r="N100" s="14">
        <f>SUBTOTAL(9,N95:N99)</f>
        <v>0</v>
      </c>
      <c r="O100" s="13"/>
      <c r="P100" s="14"/>
      <c r="Q100" s="13"/>
      <c r="R100" s="14"/>
      <c r="S100" s="13"/>
      <c r="T100" s="14"/>
    </row>
    <row r="101" spans="1:20" outlineLevel="1" x14ac:dyDescent="0.2">
      <c r="P101" s="20">
        <f>SUM(P2:P100)</f>
        <v>3306.5506249999994</v>
      </c>
      <c r="R101" s="20">
        <f>SUM(R2:R100)</f>
        <v>3136.474275</v>
      </c>
      <c r="T101" s="20">
        <f>SUM(T2:T100)</f>
        <v>29920.694490000002</v>
      </c>
    </row>
    <row r="102" spans="1:20" outlineLevel="1" x14ac:dyDescent="0.2"/>
    <row r="103" spans="1:20" outlineLevel="1" x14ac:dyDescent="0.2">
      <c r="B103" s="16" t="s">
        <v>241</v>
      </c>
      <c r="C103" s="1">
        <f>SUM(C2:C102)</f>
        <v>48029.840399999994</v>
      </c>
    </row>
    <row r="104" spans="1:20" outlineLevel="1" x14ac:dyDescent="0.2"/>
    <row r="105" spans="1:20" outlineLevel="1" x14ac:dyDescent="0.2"/>
    <row r="106" spans="1:20" outlineLevel="1" x14ac:dyDescent="0.2"/>
  </sheetData>
  <autoFilter ref="A1:T1" xr:uid="{00000000-0001-0000-0100-000000000000}">
    <sortState xmlns:xlrd2="http://schemas.microsoft.com/office/spreadsheetml/2017/richdata2" ref="A2:T84">
      <sortCondition ref="I1:I84"/>
    </sortState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cols>
    <col min="1" max="1" width="107" customWidth="1"/>
    <col min="2" max="2" width="24" customWidth="1"/>
    <col min="3" max="3" width="17" style="1" customWidth="1"/>
  </cols>
  <sheetData>
    <row r="1" spans="1:3" x14ac:dyDescent="0.2">
      <c r="A1" t="s">
        <v>189</v>
      </c>
      <c r="B1" t="s">
        <v>190</v>
      </c>
      <c r="C1" s="1" t="s">
        <v>0</v>
      </c>
    </row>
    <row r="2" spans="1:3" x14ac:dyDescent="0.2">
      <c r="A2" t="s">
        <v>191</v>
      </c>
      <c r="B2" t="s">
        <v>192</v>
      </c>
      <c r="C2" s="1">
        <v>-1355.19</v>
      </c>
    </row>
    <row r="3" spans="1:3" x14ac:dyDescent="0.2">
      <c r="A3" t="s">
        <v>193</v>
      </c>
      <c r="B3" t="s">
        <v>194</v>
      </c>
      <c r="C3" s="1">
        <v>2.5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8EC4-18BD-49B7-8B05-ED176EFE1584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F7F5-6073-4535-98A7-81E9B11E6FF7}">
  <dimension ref="A1"/>
  <sheetViews>
    <sheetView workbookViewId="0">
      <selection activeCell="E20" sqref="E20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Merchant Portfolio</vt:lpstr>
      <vt:lpstr>Misc Adjustments</vt:lpstr>
      <vt:lpstr>0827</vt:lpstr>
      <vt:lpstr>0914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2025-05-22T15:34:23Z</dcterms:created>
  <dcterms:modified xsi:type="dcterms:W3CDTF">2025-05-23T14:57:27Z</dcterms:modified>
  <cp:category/>
</cp:coreProperties>
</file>