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evonu-my.sharepoint.com/personal/cburnell_cocard_net/Documents/Residuals/Rectangle Health/2025 - Rectangle Health/"/>
    </mc:Choice>
  </mc:AlternateContent>
  <xr:revisionPtr revIDLastSave="12" documentId="8_{01E0378A-FB5F-7747-AF70-A3C1169A98C0}" xr6:coauthVersionLast="47" xr6:coauthVersionMax="47" xr10:uidLastSave="{E7FABE13-668E-6247-9E07-91F78B228D30}"/>
  <bookViews>
    <workbookView xWindow="0" yWindow="760" windowWidth="26240" windowHeight="14780" xr2:uid="{6D3D94AA-B404-4693-9B52-A6799381B086}"/>
  </bookViews>
  <sheets>
    <sheet name="Process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7" i="1" l="1"/>
  <c r="K16" i="1"/>
  <c r="K15" i="1"/>
  <c r="O13" i="1"/>
  <c r="N13" i="1"/>
  <c r="M13" i="1"/>
  <c r="L13" i="1"/>
  <c r="K13" i="1"/>
  <c r="J13" i="1"/>
  <c r="I13" i="1"/>
  <c r="H13" i="1"/>
  <c r="G13" i="1"/>
  <c r="F13" i="1"/>
</calcChain>
</file>

<file path=xl/sharedStrings.xml><?xml version="1.0" encoding="utf-8"?>
<sst xmlns="http://schemas.openxmlformats.org/spreadsheetml/2006/main" count="52" uniqueCount="42">
  <si>
    <t>Tracer Consulting Group</t>
  </si>
  <si>
    <t>Total</t>
  </si>
  <si>
    <t>Year</t>
  </si>
  <si>
    <t>Month</t>
  </si>
  <si>
    <t>Partner Name</t>
  </si>
  <si>
    <t>MID</t>
  </si>
  <si>
    <t>Merchant Name</t>
  </si>
  <si>
    <t>Total Transactions</t>
  </si>
  <si>
    <t>Total Billable Volume</t>
  </si>
  <si>
    <t>Account Updater Surcharge</t>
  </si>
  <si>
    <t>Transaction Charge</t>
  </si>
  <si>
    <t>SaaS Fee</t>
  </si>
  <si>
    <t>Processing Fee</t>
  </si>
  <si>
    <t>Inactive Fee</t>
  </si>
  <si>
    <t>Additional Billing</t>
  </si>
  <si>
    <t>Data Transfer Fee</t>
  </si>
  <si>
    <t>Billing Amount</t>
  </si>
  <si>
    <t>BPS</t>
  </si>
  <si>
    <t>EDWARD G. MACKAY, M.D., P.A. Palm Harbor</t>
  </si>
  <si>
    <t>6588000002693984</t>
  </si>
  <si>
    <t>PreciDent</t>
  </si>
  <si>
    <t>PreciDent - Largo FL</t>
  </si>
  <si>
    <t>Edward G Mackay St Pete</t>
  </si>
  <si>
    <t>Corridor Endodontics LLC</t>
  </si>
  <si>
    <t>Corridor Endodontics P.C. Cedar Rapids</t>
  </si>
  <si>
    <t>Edward G Mackay  MD Largo</t>
  </si>
  <si>
    <t>820100008276</t>
  </si>
  <si>
    <t>McCormick Family Dentistry</t>
  </si>
  <si>
    <t>Corridor Endodontics</t>
  </si>
  <si>
    <t>PreciDent - St Pete</t>
  </si>
  <si>
    <t>Adult &amp; Geriatric Center of South Florida</t>
  </si>
  <si>
    <t>Processing</t>
  </si>
  <si>
    <t>Account Updater</t>
  </si>
  <si>
    <t>5436845560000456</t>
  </si>
  <si>
    <t>5436845560000381</t>
  </si>
  <si>
    <t>5436845560000514</t>
  </si>
  <si>
    <t>6588000002698215</t>
  </si>
  <si>
    <t>6588000002698223</t>
  </si>
  <si>
    <t>5436845560166414</t>
  </si>
  <si>
    <t>5436845560166422</t>
  </si>
  <si>
    <t>5436845560124900</t>
  </si>
  <si>
    <t>5436845560030586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</si>
</sst>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&quot;$&quot;#,##0.00"/>
    <numFmt numFmtId="165" formatCode="_(* #,##0_);_(* \(#,##0\);_(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0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49" fontId="0" fillId="0" borderId="0" xfId="0" applyNumberFormat="1"/>
    <xf numFmtId="164" fontId="0" fillId="0" borderId="0" xfId="0" applyNumberFormat="1"/>
    <xf numFmtId="164" fontId="2" fillId="0" borderId="0" xfId="0" applyNumberFormat="1" applyFont="1" applyAlignment="1">
      <alignment horizontal="left" vertical="top"/>
    </xf>
    <xf numFmtId="49" fontId="3" fillId="2" borderId="0" xfId="0" applyNumberFormat="1" applyFont="1" applyFill="1" applyAlignment="1">
      <alignment horizontal="left" vertical="top"/>
    </xf>
    <xf numFmtId="0" fontId="3" fillId="2" borderId="0" xfId="0" applyFont="1" applyFill="1" applyAlignment="1">
      <alignment horizontal="left" vertical="top"/>
    </xf>
    <xf numFmtId="164" fontId="3" fillId="2" borderId="0" xfId="0" applyNumberFormat="1" applyFont="1" applyFill="1" applyAlignment="1">
      <alignment horizontal="left" vertical="top"/>
    </xf>
    <xf numFmtId="164" fontId="3" fillId="2" borderId="0" xfId="1" applyNumberFormat="1" applyFont="1" applyFill="1" applyAlignment="1">
      <alignment horizontal="left" vertical="top"/>
    </xf>
    <xf numFmtId="165" fontId="3" fillId="2" borderId="0" xfId="1" applyNumberFormat="1" applyFont="1" applyFill="1" applyAlignment="1">
      <alignment horizontal="left" vertical="top"/>
    </xf>
    <xf numFmtId="0" fontId="0" fillId="3" borderId="0" xfId="0" applyFill="1"/>
    <xf numFmtId="164" fontId="0" fillId="3" borderId="0" xfId="0" applyNumberFormat="1" applyFill="1"/>
    <xf numFmtId="43" fontId="0" fillId="0" borderId="0" xfId="1" applyFont="1"/>
    <xf numFmtId="43" fontId="0" fillId="3" borderId="0" xfId="1" applyFont="1" applyFill="1"/>
    <xf numFmtId="0" fontId="0" fillId="0" borderId="1" xfId="0" applyBorder="1"/>
    <xf numFmtId="164" fontId="0" fillId="0" borderId="1" xfId="0" applyNumberFormat="1" applyBorder="1"/>
  </cellXfs>
  <cellStyles count="2">
    <cellStyle name="Comma" xfId="1" builtinId="3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76B17-09EE-4003-9071-C674CFE959FE}">
  <dimension ref="A1:P17"/>
  <sheetViews>
    <sheetView tabSelected="1" workbookViewId="0">
      <selection activeCell="D17" sqref="D17"/>
    </sheetView>
  </sheetViews>
  <sheetFormatPr baseColWidth="10" defaultColWidth="8.83203125" defaultRowHeight="15" x14ac:dyDescent="0.2"/>
  <cols>
    <col min="4" max="4" width="35.1640625" customWidth="1"/>
    <col min="5" max="5" width="42.6640625" customWidth="1"/>
    <col min="15" max="15" width="9.5" bestFit="1" customWidth="1"/>
  </cols>
  <sheetData>
    <row r="1" spans="1:16" x14ac:dyDescent="0.2">
      <c r="A1" s="4" t="s">
        <v>2</v>
      </c>
      <c r="B1" s="4" t="s">
        <v>3</v>
      </c>
      <c r="C1" s="4" t="s">
        <v>4</v>
      </c>
      <c r="D1" s="4" t="s">
        <v>5</v>
      </c>
      <c r="E1" s="5" t="s">
        <v>6</v>
      </c>
      <c r="F1" s="5" t="s">
        <v>7</v>
      </c>
      <c r="G1" s="6" t="s">
        <v>8</v>
      </c>
      <c r="H1" s="6" t="s">
        <v>9</v>
      </c>
      <c r="I1" s="6" t="s">
        <v>10</v>
      </c>
      <c r="J1" s="6" t="s">
        <v>11</v>
      </c>
      <c r="K1" s="6" t="s">
        <v>12</v>
      </c>
      <c r="L1" s="6" t="s">
        <v>13</v>
      </c>
      <c r="M1" s="6" t="s">
        <v>14</v>
      </c>
      <c r="N1" s="6" t="s">
        <v>15</v>
      </c>
      <c r="O1" s="7" t="s">
        <v>16</v>
      </c>
      <c r="P1" s="8" t="s">
        <v>17</v>
      </c>
    </row>
    <row r="2" spans="1:16" x14ac:dyDescent="0.2">
      <c r="A2">
        <v>2025</v>
      </c>
      <c r="B2">
        <v>4</v>
      </c>
      <c r="C2" t="s">
        <v>0</v>
      </c>
      <c r="D2" s="1" t="s">
        <v>34</v>
      </c>
      <c r="E2" t="s">
        <v>18</v>
      </c>
      <c r="F2">
        <v>296</v>
      </c>
      <c r="G2">
        <v>130434.7</v>
      </c>
      <c r="H2">
        <v>0</v>
      </c>
      <c r="I2">
        <v>0</v>
      </c>
      <c r="J2">
        <v>0</v>
      </c>
      <c r="K2" s="3">
        <v>652.16999999999996</v>
      </c>
      <c r="L2">
        <v>0</v>
      </c>
      <c r="M2">
        <v>0</v>
      </c>
      <c r="N2">
        <v>0</v>
      </c>
      <c r="O2" s="11">
        <v>652.16999999999996</v>
      </c>
      <c r="P2">
        <v>50</v>
      </c>
    </row>
    <row r="3" spans="1:16" x14ac:dyDescent="0.2">
      <c r="A3">
        <v>2025</v>
      </c>
      <c r="B3">
        <v>4</v>
      </c>
      <c r="C3" t="s">
        <v>0</v>
      </c>
      <c r="D3" s="1" t="s">
        <v>19</v>
      </c>
      <c r="E3" t="s">
        <v>20</v>
      </c>
      <c r="F3">
        <v>91</v>
      </c>
      <c r="G3">
        <v>114103.48</v>
      </c>
      <c r="H3">
        <v>0</v>
      </c>
      <c r="I3">
        <v>0</v>
      </c>
      <c r="J3">
        <v>0</v>
      </c>
      <c r="K3" s="3">
        <v>570.52</v>
      </c>
      <c r="L3">
        <v>0</v>
      </c>
      <c r="M3">
        <v>0</v>
      </c>
      <c r="N3">
        <v>0</v>
      </c>
      <c r="O3" s="11">
        <v>570.52</v>
      </c>
      <c r="P3">
        <v>50</v>
      </c>
    </row>
    <row r="4" spans="1:16" x14ac:dyDescent="0.2">
      <c r="A4">
        <v>2025</v>
      </c>
      <c r="B4">
        <v>4</v>
      </c>
      <c r="C4" t="s">
        <v>0</v>
      </c>
      <c r="D4" s="1" t="s">
        <v>36</v>
      </c>
      <c r="E4" t="s">
        <v>21</v>
      </c>
      <c r="F4">
        <v>79</v>
      </c>
      <c r="G4">
        <v>49976.2</v>
      </c>
      <c r="H4">
        <v>0</v>
      </c>
      <c r="I4">
        <v>0</v>
      </c>
      <c r="J4">
        <v>0</v>
      </c>
      <c r="K4" s="3">
        <v>249.88</v>
      </c>
      <c r="L4">
        <v>0</v>
      </c>
      <c r="M4">
        <v>0</v>
      </c>
      <c r="N4">
        <v>0</v>
      </c>
      <c r="O4" s="11">
        <v>249.88</v>
      </c>
      <c r="P4">
        <v>50</v>
      </c>
    </row>
    <row r="5" spans="1:16" x14ac:dyDescent="0.2">
      <c r="A5">
        <v>2025</v>
      </c>
      <c r="B5">
        <v>4</v>
      </c>
      <c r="C5" t="s">
        <v>0</v>
      </c>
      <c r="D5" s="1" t="s">
        <v>35</v>
      </c>
      <c r="E5" t="s">
        <v>22</v>
      </c>
      <c r="F5">
        <v>189</v>
      </c>
      <c r="G5">
        <v>48286.95</v>
      </c>
      <c r="H5">
        <v>0</v>
      </c>
      <c r="I5">
        <v>0</v>
      </c>
      <c r="J5">
        <v>0</v>
      </c>
      <c r="K5" s="3">
        <v>241.43</v>
      </c>
      <c r="L5">
        <v>0</v>
      </c>
      <c r="M5">
        <v>0</v>
      </c>
      <c r="N5">
        <v>0</v>
      </c>
      <c r="O5" s="11">
        <v>241.43</v>
      </c>
      <c r="P5">
        <v>50</v>
      </c>
    </row>
    <row r="6" spans="1:16" x14ac:dyDescent="0.2">
      <c r="A6">
        <v>2025</v>
      </c>
      <c r="B6">
        <v>4</v>
      </c>
      <c r="C6" t="s">
        <v>0</v>
      </c>
      <c r="D6" s="1" t="s">
        <v>40</v>
      </c>
      <c r="E6" t="s">
        <v>23</v>
      </c>
      <c r="F6">
        <v>131</v>
      </c>
      <c r="G6">
        <v>48126.62</v>
      </c>
      <c r="H6">
        <v>0</v>
      </c>
      <c r="I6">
        <v>0</v>
      </c>
      <c r="J6">
        <v>0</v>
      </c>
      <c r="K6" s="3">
        <v>240.63</v>
      </c>
      <c r="L6">
        <v>0</v>
      </c>
      <c r="M6">
        <v>0</v>
      </c>
      <c r="N6">
        <v>0</v>
      </c>
      <c r="O6" s="11">
        <v>240.63</v>
      </c>
      <c r="P6">
        <v>50</v>
      </c>
    </row>
    <row r="7" spans="1:16" x14ac:dyDescent="0.2">
      <c r="A7">
        <v>2025</v>
      </c>
      <c r="B7">
        <v>4</v>
      </c>
      <c r="C7" t="s">
        <v>0</v>
      </c>
      <c r="D7" s="1" t="s">
        <v>38</v>
      </c>
      <c r="E7" t="s">
        <v>24</v>
      </c>
      <c r="F7">
        <v>104</v>
      </c>
      <c r="G7">
        <v>33752.14</v>
      </c>
      <c r="H7">
        <v>0</v>
      </c>
      <c r="I7">
        <v>0</v>
      </c>
      <c r="J7">
        <v>0</v>
      </c>
      <c r="K7" s="3">
        <v>168.76</v>
      </c>
      <c r="L7">
        <v>0</v>
      </c>
      <c r="M7">
        <v>0</v>
      </c>
      <c r="N7">
        <v>0</v>
      </c>
      <c r="O7" s="11">
        <v>168.76</v>
      </c>
      <c r="P7">
        <v>50</v>
      </c>
    </row>
    <row r="8" spans="1:16" x14ac:dyDescent="0.2">
      <c r="A8">
        <v>2025</v>
      </c>
      <c r="B8">
        <v>4</v>
      </c>
      <c r="C8" t="s">
        <v>0</v>
      </c>
      <c r="D8" s="1" t="s">
        <v>33</v>
      </c>
      <c r="E8" t="s">
        <v>25</v>
      </c>
      <c r="F8">
        <v>106</v>
      </c>
      <c r="G8">
        <v>29369.32</v>
      </c>
      <c r="H8">
        <v>14.684659999999999</v>
      </c>
      <c r="I8">
        <v>0</v>
      </c>
      <c r="J8">
        <v>0</v>
      </c>
      <c r="K8" s="3">
        <v>146.85</v>
      </c>
      <c r="L8">
        <v>0</v>
      </c>
      <c r="M8">
        <v>0</v>
      </c>
      <c r="N8">
        <v>0</v>
      </c>
      <c r="O8" s="11">
        <v>161.53466</v>
      </c>
      <c r="P8">
        <v>50</v>
      </c>
    </row>
    <row r="9" spans="1:16" x14ac:dyDescent="0.2">
      <c r="A9">
        <v>2025</v>
      </c>
      <c r="B9">
        <v>4</v>
      </c>
      <c r="C9" t="s">
        <v>0</v>
      </c>
      <c r="D9" s="1" t="s">
        <v>26</v>
      </c>
      <c r="E9" t="s">
        <v>27</v>
      </c>
      <c r="F9">
        <v>206</v>
      </c>
      <c r="G9">
        <v>31827.06</v>
      </c>
      <c r="H9">
        <v>0</v>
      </c>
      <c r="I9">
        <v>0</v>
      </c>
      <c r="J9">
        <v>0</v>
      </c>
      <c r="K9" s="3">
        <v>159.13999999999999</v>
      </c>
      <c r="L9">
        <v>0</v>
      </c>
      <c r="M9">
        <v>0</v>
      </c>
      <c r="N9">
        <v>0</v>
      </c>
      <c r="O9" s="11">
        <v>159.13999999999999</v>
      </c>
      <c r="P9">
        <v>50</v>
      </c>
    </row>
    <row r="10" spans="1:16" x14ac:dyDescent="0.2">
      <c r="A10">
        <v>2025</v>
      </c>
      <c r="B10">
        <v>4</v>
      </c>
      <c r="C10" t="s">
        <v>0</v>
      </c>
      <c r="D10" s="1" t="s">
        <v>39</v>
      </c>
      <c r="E10" t="s">
        <v>28</v>
      </c>
      <c r="F10">
        <v>36</v>
      </c>
      <c r="G10">
        <v>15961.99</v>
      </c>
      <c r="H10">
        <v>0</v>
      </c>
      <c r="I10">
        <v>0</v>
      </c>
      <c r="J10">
        <v>0</v>
      </c>
      <c r="K10" s="3">
        <v>79.81</v>
      </c>
      <c r="L10">
        <v>0</v>
      </c>
      <c r="M10">
        <v>0</v>
      </c>
      <c r="N10">
        <v>0</v>
      </c>
      <c r="O10" s="11">
        <v>79.81</v>
      </c>
      <c r="P10">
        <v>50</v>
      </c>
    </row>
    <row r="11" spans="1:16" x14ac:dyDescent="0.2">
      <c r="A11">
        <v>2025</v>
      </c>
      <c r="B11">
        <v>4</v>
      </c>
      <c r="C11" t="s">
        <v>0</v>
      </c>
      <c r="D11" s="1" t="s">
        <v>37</v>
      </c>
      <c r="E11" t="s">
        <v>29</v>
      </c>
      <c r="F11">
        <v>13</v>
      </c>
      <c r="G11">
        <v>10766.19</v>
      </c>
      <c r="H11">
        <v>0</v>
      </c>
      <c r="I11">
        <v>0</v>
      </c>
      <c r="J11">
        <v>0</v>
      </c>
      <c r="K11" s="3">
        <v>53.83</v>
      </c>
      <c r="L11">
        <v>0</v>
      </c>
      <c r="M11">
        <v>0</v>
      </c>
      <c r="N11">
        <v>0</v>
      </c>
      <c r="O11" s="11">
        <v>53.83</v>
      </c>
      <c r="P11">
        <v>50</v>
      </c>
    </row>
    <row r="12" spans="1:16" x14ac:dyDescent="0.2">
      <c r="A12">
        <v>2025</v>
      </c>
      <c r="B12">
        <v>4</v>
      </c>
      <c r="C12" t="s">
        <v>0</v>
      </c>
      <c r="D12" s="1" t="s">
        <v>41</v>
      </c>
      <c r="E12" t="s">
        <v>30</v>
      </c>
      <c r="F12">
        <v>32</v>
      </c>
      <c r="G12">
        <v>1196.26</v>
      </c>
      <c r="H12">
        <v>0</v>
      </c>
      <c r="I12">
        <v>0</v>
      </c>
      <c r="J12">
        <v>0</v>
      </c>
      <c r="K12" s="3">
        <v>5.98</v>
      </c>
      <c r="L12">
        <v>0</v>
      </c>
      <c r="M12">
        <v>0</v>
      </c>
      <c r="N12">
        <v>0</v>
      </c>
      <c r="O12" s="11">
        <v>5.98</v>
      </c>
      <c r="P12">
        <v>50</v>
      </c>
    </row>
    <row r="13" spans="1:16" x14ac:dyDescent="0.2">
      <c r="A13" s="9"/>
      <c r="B13" s="9" t="s">
        <v>1</v>
      </c>
      <c r="C13" s="9"/>
      <c r="D13" s="9"/>
      <c r="E13" s="9"/>
      <c r="F13" s="9">
        <f>SUM($F$2:$F$12)</f>
        <v>1283</v>
      </c>
      <c r="G13" s="9">
        <f>SUM($G$2:$G$12)</f>
        <v>513800.91000000003</v>
      </c>
      <c r="H13" s="9">
        <f>SUM($H$2:$H$12)</f>
        <v>14.684659999999999</v>
      </c>
      <c r="I13" s="9">
        <f>SUM($I$2:$I$12)</f>
        <v>0</v>
      </c>
      <c r="J13" s="9">
        <f>SUM($J$2:$J$12)</f>
        <v>0</v>
      </c>
      <c r="K13" s="10">
        <f>SUM($K$2:$K$12)</f>
        <v>2569</v>
      </c>
      <c r="L13" s="9">
        <f>SUM($L$2:$L$12)</f>
        <v>0</v>
      </c>
      <c r="M13" s="9">
        <f>SUM($M$2:$M$12)</f>
        <v>0</v>
      </c>
      <c r="N13" s="9">
        <f>SUM($N$2:$N$12)</f>
        <v>0</v>
      </c>
      <c r="O13" s="12">
        <f>SUM($O$2:$O$12)</f>
        <v>2583.6846599999999</v>
      </c>
      <c r="P13" s="9"/>
    </row>
    <row r="15" spans="1:16" x14ac:dyDescent="0.2">
      <c r="J15" t="s">
        <v>31</v>
      </c>
      <c r="K15" s="2">
        <f>SUM($K$2:$K$12)</f>
        <v>2569</v>
      </c>
    </row>
    <row r="16" spans="1:16" x14ac:dyDescent="0.2">
      <c r="J16" s="13" t="s">
        <v>32</v>
      </c>
      <c r="K16" s="14">
        <f>SUM($H$2:$H$12)</f>
        <v>14.684659999999999</v>
      </c>
    </row>
    <row r="17" spans="11:11" x14ac:dyDescent="0.2">
      <c r="K17" s="2">
        <f>SUM(K15:K16)</f>
        <v>2583.6846599999999</v>
      </c>
    </row>
  </sheetData>
  <conditionalFormatting sqref="A1:C1">
    <cfRule type="duplicateValues" dxfId="3" priority="4"/>
    <cfRule type="duplicateValues" dxfId="2" priority="5"/>
    <cfRule type="duplicateValues" dxfId="1" priority="6"/>
  </conditionalFormatting>
  <conditionalFormatting sqref="D1:D12">
    <cfRule type="duplicateValues" dxfId="0" priority="7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8d5abe67-37f7-4bdc-9ff3-cf68959a1b9d">X2556PQKWDF6-424803048-5417</_dlc_DocId>
    <_dlc_DocIdUrl xmlns="8d5abe67-37f7-4bdc-9ff3-cf68959a1b9d">
      <Url>https://rectanglehealth.sharepoint.com/sites/RectangleHealthResourceCenter/_layouts/15/DocIdRedir.aspx?ID=X2556PQKWDF6-424803048-5417</Url>
      <Description>X2556PQKWDF6-424803048-5417</Description>
    </_dlc_DocIdUrl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9A08DC7E0FDB47A52BEA86486E8ACF" ma:contentTypeVersion="13" ma:contentTypeDescription="Create a new document." ma:contentTypeScope="" ma:versionID="87d5ea9e4a9bc8e00e6eb13936be028e">
  <xsd:schema xmlns:xsd="http://www.w3.org/2001/XMLSchema" xmlns:xs="http://www.w3.org/2001/XMLSchema" xmlns:p="http://schemas.microsoft.com/office/2006/metadata/properties" xmlns:ns2="8d5abe67-37f7-4bdc-9ff3-cf68959a1b9d" xmlns:ns3="07f0c2e1-b7f1-4000-ac62-d8cbe9883318" targetNamespace="http://schemas.microsoft.com/office/2006/metadata/properties" ma:root="true" ma:fieldsID="5b7f1f57422fb83635f918328ea0cd6b" ns2:_="" ns3:_="">
    <xsd:import namespace="8d5abe67-37f7-4bdc-9ff3-cf68959a1b9d"/>
    <xsd:import namespace="07f0c2e1-b7f1-4000-ac62-d8cbe9883318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AutoKeyPoints" minOccurs="0"/>
                <xsd:element ref="ns3:MediaServiceKeyPoints" minOccurs="0"/>
                <xsd:element ref="ns2:SharedWithUsers" minOccurs="0"/>
                <xsd:element ref="ns2:SharedWithDetail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5abe67-37f7-4bdc-9ff3-cf68959a1b9d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f0c2e1-b7f1-4000-ac62-d8cbe98833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BC07BD5-4D6A-424C-8B4A-890AA1D72E46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FADA263B-DDBA-403F-A0F2-5182718A702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7E2E956-5101-43B3-B064-874C6708F109}">
  <ds:schemaRefs>
    <ds:schemaRef ds:uri="8d5abe67-37f7-4bdc-9ff3-cf68959a1b9d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07f0c2e1-b7f1-4000-ac62-d8cbe9883318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8489679A-CB4B-4E5B-B252-F959682B43C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d5abe67-37f7-4bdc-9ff3-cf68959a1b9d"/>
    <ds:schemaRef ds:uri="07f0c2e1-b7f1-4000-ac62-d8cbe988331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Processing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LeAnn Rosario</dc:creator>
  <cp:lastModifiedBy>Cody Burnell</cp:lastModifiedBy>
  <dcterms:created xsi:type="dcterms:W3CDTF">2025-05-14T14:59:35Z</dcterms:created>
  <dcterms:modified xsi:type="dcterms:W3CDTF">2025-05-27T17:18:52Z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0x010100649A08DC7E0FDB47A52BEA86486E8ACF</vt:lpwstr>
  </property>
  <property fmtid="{D5CDD505-2E9C-101B-9397-08002B2CF9AE}" pid="3" name="MediaServiceImageTags">
    <vt:lpwstr/>
  </property>
  <property fmtid="{D5CDD505-2E9C-101B-9397-08002B2CF9AE}" pid="4" name="_dlc_DocIdItemGuid">
    <vt:lpwstr>79924283-7bf1-4e85-899a-15a4a672d444</vt:lpwstr>
  </property>
</Properties>
</file>