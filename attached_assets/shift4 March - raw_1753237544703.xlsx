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3"/>
  <workbookPr filterPrivacy="1"/>
  <xr:revisionPtr revIDLastSave="0" documentId="8_{D45EB3EE-F2F1-1C4D-A44A-E72D910A51FC}" xr6:coauthVersionLast="47" xr6:coauthVersionMax="47" xr10:uidLastSave="{00000000-0000-0000-0000-000000000000}"/>
  <bookViews>
    <workbookView xWindow="-29400" yWindow="3460" windowWidth="23240" windowHeight="12440" xr2:uid="{00000000-000D-0000-FFFF-FFFF00000000}"/>
  </bookViews>
  <sheets>
    <sheet name="Merchant Portfolio" sheetId="2" r:id="rId1"/>
    <sheet name="Misc Adjustments" sheetId="4" r:id="rId2"/>
    <sheet name="Upfront Bonus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8" i="2" l="1"/>
</calcChain>
</file>

<file path=xl/sharedStrings.xml><?xml version="1.0" encoding="utf-8"?>
<sst xmlns="http://schemas.openxmlformats.org/spreadsheetml/2006/main" count="456" uniqueCount="217">
  <si>
    <t>Amount</t>
  </si>
  <si>
    <t/>
  </si>
  <si>
    <t>Total</t>
  </si>
  <si>
    <t>Merchant ID</t>
  </si>
  <si>
    <t>Merchant Name</t>
  </si>
  <si>
    <t>Payout Amount</t>
  </si>
  <si>
    <t>Volume</t>
  </si>
  <si>
    <t>Sales</t>
  </si>
  <si>
    <t>Refunds</t>
  </si>
  <si>
    <t>Reject Amount</t>
  </si>
  <si>
    <t>Salesrep ID</t>
  </si>
  <si>
    <t>Split</t>
  </si>
  <si>
    <t>Merchant Rejected</t>
  </si>
  <si>
    <t>030CM</t>
  </si>
  <si>
    <t>Harbortouch Organic Growth Option 3 - 80% Split</t>
  </si>
  <si>
    <t>No</t>
  </si>
  <si>
    <t>0022136935</t>
  </si>
  <si>
    <t>PREP AND REC GRAND NATIONALS</t>
  </si>
  <si>
    <t>Authorized Skytab Partner Option 2 - 75% Split</t>
  </si>
  <si>
    <t>0021799921</t>
  </si>
  <si>
    <t>CRUZY</t>
  </si>
  <si>
    <t>030EF</t>
  </si>
  <si>
    <t>Sales Partnership Option 2 - 75% Split</t>
  </si>
  <si>
    <t>0021774587</t>
  </si>
  <si>
    <t>MARCO ESCAPES INC</t>
  </si>
  <si>
    <t>0022000537</t>
  </si>
  <si>
    <t>BAR 3</t>
  </si>
  <si>
    <t>030JB</t>
  </si>
  <si>
    <t>Authorized Skytab Partner Option 1 - 60% Split</t>
  </si>
  <si>
    <t>0021656251</t>
  </si>
  <si>
    <t>TAQUERIA EL VAQUERO</t>
  </si>
  <si>
    <t>030AB</t>
  </si>
  <si>
    <t>PATT Option 1 - 60% Split</t>
  </si>
  <si>
    <t>0022136927</t>
  </si>
  <si>
    <t>OPEN ORLANDO</t>
  </si>
  <si>
    <t>0021606314</t>
  </si>
  <si>
    <t>ALEXANDERS GROCERY &amp; DELI</t>
  </si>
  <si>
    <t>HarborPay Option 2 - 60% Split</t>
  </si>
  <si>
    <t>0021844372</t>
  </si>
  <si>
    <t>IRON HORSE TAP</t>
  </si>
  <si>
    <t>GR030</t>
  </si>
  <si>
    <t>0022106490</t>
  </si>
  <si>
    <t>JOSES LATIN FOOD</t>
  </si>
  <si>
    <t>030CB</t>
  </si>
  <si>
    <t>0021880772</t>
  </si>
  <si>
    <t>FLAN FACTORY</t>
  </si>
  <si>
    <t>030JW</t>
  </si>
  <si>
    <t>0021752965</t>
  </si>
  <si>
    <t>TWO LOONS WAREHOUSE</t>
  </si>
  <si>
    <t>030JH</t>
  </si>
  <si>
    <t>0021902501</t>
  </si>
  <si>
    <t>PITAS IN PARADISE CRESTED BUTTE</t>
  </si>
  <si>
    <t>0021806567</t>
  </si>
  <si>
    <t xml:space="preserve">KEY WEST EMPORIUM - KAYA ISLAND </t>
  </si>
  <si>
    <t>0021988914</t>
  </si>
  <si>
    <t>FRONT STREET GRILL</t>
  </si>
  <si>
    <t>0022197317</t>
  </si>
  <si>
    <t>MALCOLMS</t>
  </si>
  <si>
    <t>030HC</t>
  </si>
  <si>
    <t>0021806568</t>
  </si>
  <si>
    <t>KEY WEST EMPORIUM - 618 DUVAL ST</t>
  </si>
  <si>
    <t>0021746156</t>
  </si>
  <si>
    <t>GOLDEN LIGHT BEER GARDEN</t>
  </si>
  <si>
    <t>Harbortouch Organic Growth Option 1 - 60% Split</t>
  </si>
  <si>
    <t>0021752968</t>
  </si>
  <si>
    <t>NEON MOON</t>
  </si>
  <si>
    <t>0021907393</t>
  </si>
  <si>
    <t>JUDITH R. RODRIGUEZ-BEC DMD PA</t>
  </si>
  <si>
    <t>030TE</t>
  </si>
  <si>
    <t>0021986355</t>
  </si>
  <si>
    <t>PITAS IN PARADISE GUNNISON</t>
  </si>
  <si>
    <t>0020840981</t>
  </si>
  <si>
    <t>THE 212 CLUB LLC</t>
  </si>
  <si>
    <t>JF030</t>
  </si>
  <si>
    <t>HarborPay Option 1 - 55% Split</t>
  </si>
  <si>
    <t>0021907161</t>
  </si>
  <si>
    <t>LA CHAPINA RESTAURANT</t>
  </si>
  <si>
    <t>0021949643</t>
  </si>
  <si>
    <t>ONE CUT GLASS LLC</t>
  </si>
  <si>
    <t>030TH</t>
  </si>
  <si>
    <t>0021802590</t>
  </si>
  <si>
    <t>TACOS GARCIA</t>
  </si>
  <si>
    <t>0021952076</t>
  </si>
  <si>
    <t>The Porch at Huntington Square</t>
  </si>
  <si>
    <t>0021806569</t>
  </si>
  <si>
    <t>KEY WEST EMPORIUM - BACKYARD BAR</t>
  </si>
  <si>
    <t>0022228112</t>
  </si>
  <si>
    <t>LAMBERTS BAR AND RESTAURANT</t>
  </si>
  <si>
    <t>0021860956</t>
  </si>
  <si>
    <t>SEINEYARD AT WILDWOOD</t>
  </si>
  <si>
    <t>0021885243</t>
  </si>
  <si>
    <t>GRANDPA DONUTS</t>
  </si>
  <si>
    <t>0020185112</t>
  </si>
  <si>
    <t>ORIGINAL PINE SHED</t>
  </si>
  <si>
    <t>Echo / Apple Pay Option 1 - 55% Split</t>
  </si>
  <si>
    <t>0021902493</t>
  </si>
  <si>
    <t>MIKEYS PIZZA</t>
  </si>
  <si>
    <t>0021943547</t>
  </si>
  <si>
    <t>SPOTTED PONY</t>
  </si>
  <si>
    <t>0021882570</t>
  </si>
  <si>
    <t>SANTA CECILIA - HORIZON</t>
  </si>
  <si>
    <t>030LD</t>
  </si>
  <si>
    <t>0021809588</t>
  </si>
  <si>
    <t>REV ROOM</t>
  </si>
  <si>
    <t>0022000784</t>
  </si>
  <si>
    <t>CHERRY ON TOP</t>
  </si>
  <si>
    <t>0022119444</t>
  </si>
  <si>
    <t>ODDS AND ENDS EMPORIUM</t>
  </si>
  <si>
    <t>0021853480</t>
  </si>
  <si>
    <t>UNITED POSTAL CENTER PLUS</t>
  </si>
  <si>
    <t>0022509503</t>
  </si>
  <si>
    <t>EL TROPICO DUMAS</t>
  </si>
  <si>
    <t>0022506806</t>
  </si>
  <si>
    <t>ROBINSONS BBQ</t>
  </si>
  <si>
    <t>0021958362</t>
  </si>
  <si>
    <t xml:space="preserve">TACOSLAND </t>
  </si>
  <si>
    <t>0022037562</t>
  </si>
  <si>
    <t>EL TROPICO PERRYTON-3</t>
  </si>
  <si>
    <t>ET2AB</t>
  </si>
  <si>
    <t>0022214260</t>
  </si>
  <si>
    <t xml:space="preserve"> 1899 MINING CLAIM SALOON</t>
  </si>
  <si>
    <t>0021799251</t>
  </si>
  <si>
    <t>LA MARIA ICE CREAM SHOP</t>
  </si>
  <si>
    <t>Sales Partnership Option 1 - 60% Split</t>
  </si>
  <si>
    <t>0022500833</t>
  </si>
  <si>
    <t>UP 4 BREAKFAST- LAKEWOOD PLAZA</t>
  </si>
  <si>
    <t>0021521729</t>
  </si>
  <si>
    <t>JACOBO'S CAFE</t>
  </si>
  <si>
    <t>0021842384</t>
  </si>
  <si>
    <t>LOUIE LOUIES PIANO BAR</t>
  </si>
  <si>
    <t>0022502961</t>
  </si>
  <si>
    <t>AQUA NIGHT CLUB</t>
  </si>
  <si>
    <t>0021886233</t>
  </si>
  <si>
    <t>KEYS BOAT FURNITURE</t>
  </si>
  <si>
    <t>0022052066</t>
  </si>
  <si>
    <t>0021826686</t>
  </si>
  <si>
    <t>THE KAST NET</t>
  </si>
  <si>
    <t>0021828237</t>
  </si>
  <si>
    <t>THE OLD TASCOSA BREWERY</t>
  </si>
  <si>
    <t>0021821351</t>
  </si>
  <si>
    <t>HATTON G. DOUGLAS VFW POST 424</t>
  </si>
  <si>
    <t>0021833482</t>
  </si>
  <si>
    <t>LA CAMPENA CATRACHA</t>
  </si>
  <si>
    <t>0022187961</t>
  </si>
  <si>
    <t>CHINESE AND THAI CUISINE 2022 LL</t>
  </si>
  <si>
    <t>0021746157</t>
  </si>
  <si>
    <t>GOLDEN LIGHT CANTINA</t>
  </si>
  <si>
    <t>0021898436</t>
  </si>
  <si>
    <t>BRODIES CREAM &amp; BEAN</t>
  </si>
  <si>
    <t>0021986470</t>
  </si>
  <si>
    <t>PITABOY INC</t>
  </si>
  <si>
    <t>0022048189</t>
  </si>
  <si>
    <t>THE BISTRO</t>
  </si>
  <si>
    <t>0021966209</t>
  </si>
  <si>
    <t>CLARENDON COUNTRY CLUB</t>
  </si>
  <si>
    <t>0022136026</t>
  </si>
  <si>
    <t>WATER TREE-BELL</t>
  </si>
  <si>
    <t>0022136000</t>
  </si>
  <si>
    <t>WATER TREE-10TH</t>
  </si>
  <si>
    <t>0021860733</t>
  </si>
  <si>
    <t>PRECINCT PIZZA &amp; MORE, INC.</t>
  </si>
  <si>
    <t>0021814861</t>
  </si>
  <si>
    <t>STOCKING ICE CREAM PARLOR</t>
  </si>
  <si>
    <t>0022234441</t>
  </si>
  <si>
    <t>PAPIZZTA</t>
  </si>
  <si>
    <t>0021895747</t>
  </si>
  <si>
    <t>SOUTHERN SANDS PRINTING CO</t>
  </si>
  <si>
    <t>0021929090</t>
  </si>
  <si>
    <t>AMTECH TEL</t>
  </si>
  <si>
    <t>0022036861</t>
  </si>
  <si>
    <t>EL CUERVO TAQUERIA EXPRESS</t>
  </si>
  <si>
    <t>0021936715</t>
  </si>
  <si>
    <t>SURF SIDE SHORES CONDOMINIUM OWN</t>
  </si>
  <si>
    <t>0022021673</t>
  </si>
  <si>
    <t>ETTER MOTORS &amp; TIRES</t>
  </si>
  <si>
    <t>0021788133</t>
  </si>
  <si>
    <t>IBIS BAY WATER SPORTS</t>
  </si>
  <si>
    <t>Harbortouch Organic Growth Option 4 - 60% Split</t>
  </si>
  <si>
    <t>0021788132</t>
  </si>
  <si>
    <t>IBIS BAY RESORT</t>
  </si>
  <si>
    <t>0021872092</t>
  </si>
  <si>
    <t>ANDY AND DAVES GARAGE</t>
  </si>
  <si>
    <t>0021928399</t>
  </si>
  <si>
    <t>FLORIDA KEYS COMMERCIAL FISHERME</t>
  </si>
  <si>
    <t>0021848373</t>
  </si>
  <si>
    <t>AACTION BETTER BUILT TRANSMISSIO</t>
  </si>
  <si>
    <t>0022118248</t>
  </si>
  <si>
    <t xml:space="preserve">THE IRON SKILLET RESTAURANT </t>
  </si>
  <si>
    <t>0021862960</t>
  </si>
  <si>
    <t>SAMUELS HOUSE</t>
  </si>
  <si>
    <t>0021863992</t>
  </si>
  <si>
    <t>CORNERSTONE WORSHIP CENTER</t>
  </si>
  <si>
    <t>0022169266</t>
  </si>
  <si>
    <t>AMERICAN SEOUL FOOD</t>
  </si>
  <si>
    <t>0022020154</t>
  </si>
  <si>
    <t>HIPPIE LITTLE LLC</t>
  </si>
  <si>
    <t>Yes</t>
  </si>
  <si>
    <t>0022057511</t>
  </si>
  <si>
    <t xml:space="preserve">THE GREAT CATCH </t>
  </si>
  <si>
    <t>0022538262</t>
  </si>
  <si>
    <t>SOCK IT TO ME SUBS</t>
  </si>
  <si>
    <t>0022486603</t>
  </si>
  <si>
    <t>THAI STAR</t>
  </si>
  <si>
    <t>0021885391</t>
  </si>
  <si>
    <t>SANTA CECILIA-EL PASO</t>
  </si>
  <si>
    <t>0021997519</t>
  </si>
  <si>
    <t xml:space="preserve">SP030MP- SKYTAB DEMO TEST </t>
  </si>
  <si>
    <t>030MP</t>
  </si>
  <si>
    <t>0021878958</t>
  </si>
  <si>
    <t>SP030TE - SKYTAB DEMO TEST</t>
  </si>
  <si>
    <t>0021970987</t>
  </si>
  <si>
    <t>SP030GR - SKYTAB DEMO TEST</t>
  </si>
  <si>
    <t>Description</t>
  </si>
  <si>
    <t>Type</t>
  </si>
  <si>
    <t>Dealer Support Fee for MID: 0021882570 - SANTA CECILIA - HORIZON</t>
  </si>
  <si>
    <t>Miscellaneous</t>
  </si>
  <si>
    <t>Payout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</si>
</sst>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2" x14ac:knownFonts="1">
    <font>
      <sz val="11"/>
      <color theme="1"/>
      <name val="Calibri"/>
      <family val="2"/>
      <scheme val="minor"/>
    </font>
    <font>
      <sz val="11"/>
      <color rgb="FFF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3">
    <dxf>
      <numFmt numFmtId="164" formatCode="\$#,##0.00"/>
    </dxf>
    <dxf>
      <numFmt numFmtId="164" formatCode="\$#,##0.00"/>
    </dxf>
    <dxf>
      <numFmt numFmtId="164" formatCode="\$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merchant_portolio" displayName="Merchant_Portfolio" ref="A1:J88" totalsRowCount="1">
  <autoFilter ref="A1:J87" xr:uid="{00000000-0009-0000-0100-000004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00000000-0010-0000-0300-000001000000}" name="Merchant ID" totalsRowLabel="Total"/>
    <tableColumn id="2" xr3:uid="{00000000-0010-0000-0300-000002000000}" name="Merchant Name"/>
    <tableColumn id="3" xr3:uid="{00000000-0010-0000-0300-000003000000}" name="Payout Amount" totalsRowFunction="sum" totalsRowDxfId="2"/>
    <tableColumn id="4" xr3:uid="{00000000-0010-0000-0300-000004000000}" name="Volume" totalsRowDxfId="1"/>
    <tableColumn id="5" xr3:uid="{00000000-0010-0000-0300-000005000000}" name="Sales"/>
    <tableColumn id="6" xr3:uid="{00000000-0010-0000-0300-000006000000}" name="Refunds"/>
    <tableColumn id="7" xr3:uid="{00000000-0010-0000-0300-000007000000}" name="Reject Amount" totalsRowDxfId="0"/>
    <tableColumn id="8" xr3:uid="{00000000-0010-0000-0300-000008000000}" name="Salesrep ID"/>
    <tableColumn id="9" xr3:uid="{00000000-0010-0000-0300-000009000000}" name="Split"/>
    <tableColumn id="10" xr3:uid="{00000000-0010-0000-0300-00000A000000}" name="Merchant Rejected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Misc_adjustments" displayName="Misc_adjustments" ref="A1:C2">
  <autoFilter ref="A1:C2" xr:uid="{00000000-0009-0000-0100-000006000000}">
    <filterColumn colId="0" hiddenButton="1"/>
    <filterColumn colId="1" hiddenButton="1"/>
    <filterColumn colId="2" hiddenButton="1"/>
  </autoFilter>
  <tableColumns count="3">
    <tableColumn id="1" xr3:uid="{00000000-0010-0000-0500-000001000000}" name="Description" totalsRowLabel="Total"/>
    <tableColumn id="2" xr3:uid="{00000000-0010-0000-0500-000002000000}" name="Type"/>
    <tableColumn id="3" xr3:uid="{00000000-0010-0000-0500-000003000000}" name="Amount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Bonus_True_Up" displayName="Bonus_True_Up" ref="A1:E2">
  <autoFilter ref="A1:E2" xr:uid="{00000000-0009-0000-0100-00000700000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000000-0010-0000-0600-000001000000}" name="Merchant ID" totalsRowLabel="Total"/>
    <tableColumn id="2" xr3:uid="{00000000-0010-0000-0600-000002000000}" name="Type"/>
    <tableColumn id="3" xr3:uid="{00000000-0010-0000-0600-000003000000}" name="Payout Amount"/>
    <tableColumn id="4" xr3:uid="{00000000-0010-0000-0600-000004000000}" name="Payout date"/>
    <tableColumn id="5" xr3:uid="{00000000-0010-0000-0600-000005000000}" name="Salesrep ID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8"/>
  <sheetViews>
    <sheetView tabSelected="1" topLeftCell="A67" workbookViewId="0">
      <selection activeCell="A2" sqref="A2:XFD2"/>
    </sheetView>
  </sheetViews>
  <sheetFormatPr baseColWidth="10" defaultColWidth="8.83203125" defaultRowHeight="15" x14ac:dyDescent="0.2"/>
  <cols>
    <col min="1" max="1" width="12" customWidth="1"/>
    <col min="2" max="2" width="24" customWidth="1"/>
    <col min="3" max="4" width="17" style="1" customWidth="1"/>
    <col min="5" max="6" width="17" customWidth="1"/>
    <col min="7" max="7" width="17" style="1" customWidth="1"/>
    <col min="8" max="8" width="17" customWidth="1"/>
    <col min="9" max="9" width="41" customWidth="1"/>
    <col min="10" max="10" width="17" customWidth="1"/>
  </cols>
  <sheetData>
    <row r="1" spans="1:10" x14ac:dyDescent="0.2">
      <c r="A1" t="s">
        <v>3</v>
      </c>
      <c r="B1" t="s">
        <v>4</v>
      </c>
      <c r="C1" s="1" t="s">
        <v>5</v>
      </c>
      <c r="D1" s="1" t="s">
        <v>6</v>
      </c>
      <c r="E1" t="s">
        <v>7</v>
      </c>
      <c r="F1" t="s">
        <v>8</v>
      </c>
      <c r="G1" s="1" t="s">
        <v>9</v>
      </c>
      <c r="H1" t="s">
        <v>10</v>
      </c>
      <c r="I1" t="s">
        <v>11</v>
      </c>
      <c r="J1" t="s">
        <v>12</v>
      </c>
    </row>
    <row r="2" spans="1:10" x14ac:dyDescent="0.2">
      <c r="A2" t="s">
        <v>16</v>
      </c>
      <c r="B2" t="s">
        <v>17</v>
      </c>
      <c r="C2" s="1">
        <v>4434.2875000000004</v>
      </c>
      <c r="D2" s="1">
        <v>1499404.06</v>
      </c>
      <c r="E2">
        <v>1155</v>
      </c>
      <c r="F2">
        <v>31</v>
      </c>
      <c r="G2" s="1">
        <v>0</v>
      </c>
      <c r="H2" t="s">
        <v>13</v>
      </c>
      <c r="I2" t="s">
        <v>18</v>
      </c>
      <c r="J2" t="s">
        <v>15</v>
      </c>
    </row>
    <row r="3" spans="1:10" x14ac:dyDescent="0.2">
      <c r="A3" t="s">
        <v>19</v>
      </c>
      <c r="B3" t="s">
        <v>20</v>
      </c>
      <c r="C3" s="1">
        <v>3021.1075000000001</v>
      </c>
      <c r="D3" s="1">
        <v>459833.67</v>
      </c>
      <c r="E3">
        <v>517</v>
      </c>
      <c r="F3">
        <v>9</v>
      </c>
      <c r="G3" s="1">
        <v>0</v>
      </c>
      <c r="H3" t="s">
        <v>21</v>
      </c>
      <c r="I3" t="s">
        <v>22</v>
      </c>
      <c r="J3" t="s">
        <v>15</v>
      </c>
    </row>
    <row r="4" spans="1:10" x14ac:dyDescent="0.2">
      <c r="A4" t="s">
        <v>23</v>
      </c>
      <c r="B4" t="s">
        <v>24</v>
      </c>
      <c r="C4" s="1">
        <v>2536.4259999999999</v>
      </c>
      <c r="D4" s="1">
        <v>411958.47</v>
      </c>
      <c r="E4">
        <v>141</v>
      </c>
      <c r="F4">
        <v>6</v>
      </c>
      <c r="G4" s="1">
        <v>0</v>
      </c>
      <c r="H4" t="s">
        <v>21</v>
      </c>
      <c r="I4" t="s">
        <v>14</v>
      </c>
      <c r="J4" t="s">
        <v>15</v>
      </c>
    </row>
    <row r="5" spans="1:10" x14ac:dyDescent="0.2">
      <c r="A5" t="s">
        <v>25</v>
      </c>
      <c r="B5" t="s">
        <v>26</v>
      </c>
      <c r="C5" s="1">
        <v>2413.4421000000002</v>
      </c>
      <c r="D5" s="1">
        <v>355989.31</v>
      </c>
      <c r="E5">
        <v>5757</v>
      </c>
      <c r="F5">
        <v>0</v>
      </c>
      <c r="G5" s="1">
        <v>0</v>
      </c>
      <c r="H5" t="s">
        <v>27</v>
      </c>
      <c r="I5" t="s">
        <v>28</v>
      </c>
      <c r="J5" t="s">
        <v>15</v>
      </c>
    </row>
    <row r="6" spans="1:10" x14ac:dyDescent="0.2">
      <c r="A6" t="s">
        <v>29</v>
      </c>
      <c r="B6" t="s">
        <v>30</v>
      </c>
      <c r="C6" s="1">
        <v>1271.4460999999999</v>
      </c>
      <c r="D6" s="1">
        <v>127385.95</v>
      </c>
      <c r="E6">
        <v>3396</v>
      </c>
      <c r="F6">
        <v>0</v>
      </c>
      <c r="G6" s="1">
        <v>0</v>
      </c>
      <c r="H6" t="s">
        <v>31</v>
      </c>
      <c r="I6" t="s">
        <v>32</v>
      </c>
      <c r="J6" t="s">
        <v>15</v>
      </c>
    </row>
    <row r="7" spans="1:10" x14ac:dyDescent="0.2">
      <c r="A7" t="s">
        <v>33</v>
      </c>
      <c r="B7" t="s">
        <v>34</v>
      </c>
      <c r="C7" s="1">
        <v>1122.7025000000001</v>
      </c>
      <c r="D7" s="1">
        <v>410641.54</v>
      </c>
      <c r="E7">
        <v>292</v>
      </c>
      <c r="F7">
        <v>1</v>
      </c>
      <c r="G7" s="1">
        <v>0</v>
      </c>
      <c r="H7" t="s">
        <v>13</v>
      </c>
      <c r="I7" t="s">
        <v>18</v>
      </c>
      <c r="J7" t="s">
        <v>15</v>
      </c>
    </row>
    <row r="8" spans="1:10" x14ac:dyDescent="0.2">
      <c r="A8" t="s">
        <v>35</v>
      </c>
      <c r="B8" t="s">
        <v>36</v>
      </c>
      <c r="C8" s="1">
        <v>1003.09</v>
      </c>
      <c r="D8" s="1">
        <v>123670.56</v>
      </c>
      <c r="E8">
        <v>8865</v>
      </c>
      <c r="F8">
        <v>1</v>
      </c>
      <c r="G8" s="1">
        <v>0</v>
      </c>
      <c r="H8" t="s">
        <v>27</v>
      </c>
      <c r="I8" t="s">
        <v>37</v>
      </c>
      <c r="J8" t="s">
        <v>15</v>
      </c>
    </row>
    <row r="9" spans="1:10" x14ac:dyDescent="0.2">
      <c r="A9" t="s">
        <v>38</v>
      </c>
      <c r="B9" t="s">
        <v>39</v>
      </c>
      <c r="C9" s="1">
        <v>890.51599999999996</v>
      </c>
      <c r="D9" s="1">
        <v>107449.82</v>
      </c>
      <c r="E9">
        <v>2478</v>
      </c>
      <c r="F9">
        <v>0</v>
      </c>
      <c r="G9" s="1">
        <v>0</v>
      </c>
      <c r="H9" t="s">
        <v>40</v>
      </c>
      <c r="I9" t="s">
        <v>28</v>
      </c>
      <c r="J9" t="s">
        <v>15</v>
      </c>
    </row>
    <row r="10" spans="1:10" x14ac:dyDescent="0.2">
      <c r="A10" t="s">
        <v>41</v>
      </c>
      <c r="B10" t="s">
        <v>42</v>
      </c>
      <c r="C10" s="1">
        <v>777.86599999999999</v>
      </c>
      <c r="D10" s="1">
        <v>78140.399999999994</v>
      </c>
      <c r="E10">
        <v>1639</v>
      </c>
      <c r="F10">
        <v>13</v>
      </c>
      <c r="G10" s="1">
        <v>0</v>
      </c>
      <c r="H10" t="s">
        <v>43</v>
      </c>
      <c r="I10" t="s">
        <v>28</v>
      </c>
      <c r="J10" t="s">
        <v>15</v>
      </c>
    </row>
    <row r="11" spans="1:10" x14ac:dyDescent="0.2">
      <c r="A11" t="s">
        <v>44</v>
      </c>
      <c r="B11" t="s">
        <v>45</v>
      </c>
      <c r="C11" s="1">
        <v>769.89599999999996</v>
      </c>
      <c r="D11" s="1">
        <v>136924.10999999999</v>
      </c>
      <c r="E11">
        <v>3983</v>
      </c>
      <c r="F11">
        <v>3</v>
      </c>
      <c r="G11" s="1">
        <v>0</v>
      </c>
      <c r="H11" t="s">
        <v>46</v>
      </c>
      <c r="I11" t="s">
        <v>28</v>
      </c>
      <c r="J11" t="s">
        <v>15</v>
      </c>
    </row>
    <row r="12" spans="1:10" x14ac:dyDescent="0.2">
      <c r="A12" t="s">
        <v>47</v>
      </c>
      <c r="B12" t="s">
        <v>48</v>
      </c>
      <c r="C12" s="1">
        <v>747.35599999999999</v>
      </c>
      <c r="D12" s="1">
        <v>60871.77</v>
      </c>
      <c r="E12">
        <v>661</v>
      </c>
      <c r="F12">
        <v>3</v>
      </c>
      <c r="G12" s="1">
        <v>0</v>
      </c>
      <c r="H12" t="s">
        <v>49</v>
      </c>
      <c r="I12" t="s">
        <v>14</v>
      </c>
      <c r="J12" t="s">
        <v>15</v>
      </c>
    </row>
    <row r="13" spans="1:10" x14ac:dyDescent="0.2">
      <c r="A13" t="s">
        <v>50</v>
      </c>
      <c r="B13" t="s">
        <v>51</v>
      </c>
      <c r="C13" s="1">
        <v>727.78399999999999</v>
      </c>
      <c r="D13" s="1">
        <v>87936.28</v>
      </c>
      <c r="E13">
        <v>2208</v>
      </c>
      <c r="F13">
        <v>0</v>
      </c>
      <c r="G13" s="1">
        <v>0</v>
      </c>
      <c r="H13" t="s">
        <v>40</v>
      </c>
      <c r="I13" t="s">
        <v>28</v>
      </c>
      <c r="J13" t="s">
        <v>15</v>
      </c>
    </row>
    <row r="14" spans="1:10" x14ac:dyDescent="0.2">
      <c r="A14" t="s">
        <v>52</v>
      </c>
      <c r="B14" t="s">
        <v>53</v>
      </c>
      <c r="C14" s="1">
        <v>717.38199999999995</v>
      </c>
      <c r="D14" s="1">
        <v>219004.5</v>
      </c>
      <c r="E14">
        <v>2274</v>
      </c>
      <c r="F14">
        <v>0</v>
      </c>
      <c r="G14" s="1">
        <v>0</v>
      </c>
      <c r="H14" t="s">
        <v>43</v>
      </c>
      <c r="I14" t="s">
        <v>28</v>
      </c>
      <c r="J14" t="s">
        <v>15</v>
      </c>
    </row>
    <row r="15" spans="1:10" x14ac:dyDescent="0.2">
      <c r="A15" t="s">
        <v>54</v>
      </c>
      <c r="B15" t="s">
        <v>55</v>
      </c>
      <c r="C15" s="1">
        <v>715.22400000000005</v>
      </c>
      <c r="D15" s="1">
        <v>52397.7</v>
      </c>
      <c r="E15">
        <v>1097</v>
      </c>
      <c r="F15">
        <v>0</v>
      </c>
      <c r="G15" s="1">
        <v>0</v>
      </c>
      <c r="H15" t="s">
        <v>43</v>
      </c>
      <c r="I15" t="s">
        <v>28</v>
      </c>
      <c r="J15" t="s">
        <v>15</v>
      </c>
    </row>
    <row r="16" spans="1:10" x14ac:dyDescent="0.2">
      <c r="A16" t="s">
        <v>56</v>
      </c>
      <c r="B16" t="s">
        <v>57</v>
      </c>
      <c r="C16" s="1">
        <v>690.47400000000005</v>
      </c>
      <c r="D16" s="1">
        <v>79368.649999999994</v>
      </c>
      <c r="E16">
        <v>1804</v>
      </c>
      <c r="F16">
        <v>0</v>
      </c>
      <c r="G16" s="1">
        <v>0</v>
      </c>
      <c r="H16" t="s">
        <v>58</v>
      </c>
      <c r="I16" t="s">
        <v>28</v>
      </c>
      <c r="J16" t="s">
        <v>15</v>
      </c>
    </row>
    <row r="17" spans="1:10" x14ac:dyDescent="0.2">
      <c r="A17" t="s">
        <v>59</v>
      </c>
      <c r="B17" t="s">
        <v>60</v>
      </c>
      <c r="C17" s="1">
        <v>687.01599999999996</v>
      </c>
      <c r="D17" s="1">
        <v>178882.66</v>
      </c>
      <c r="E17">
        <v>2793</v>
      </c>
      <c r="F17">
        <v>0</v>
      </c>
      <c r="G17" s="1">
        <v>0</v>
      </c>
      <c r="H17" t="s">
        <v>43</v>
      </c>
      <c r="I17" t="s">
        <v>28</v>
      </c>
      <c r="J17" t="s">
        <v>15</v>
      </c>
    </row>
    <row r="18" spans="1:10" x14ac:dyDescent="0.2">
      <c r="A18" t="s">
        <v>61</v>
      </c>
      <c r="B18" t="s">
        <v>62</v>
      </c>
      <c r="C18" s="1">
        <v>621.81200000000001</v>
      </c>
      <c r="D18" s="1">
        <v>75676.84</v>
      </c>
      <c r="E18">
        <v>1734</v>
      </c>
      <c r="F18">
        <v>0</v>
      </c>
      <c r="G18" s="1">
        <v>0</v>
      </c>
      <c r="H18" t="s">
        <v>13</v>
      </c>
      <c r="I18" t="s">
        <v>63</v>
      </c>
      <c r="J18" t="s">
        <v>15</v>
      </c>
    </row>
    <row r="19" spans="1:10" x14ac:dyDescent="0.2">
      <c r="A19" t="s">
        <v>64</v>
      </c>
      <c r="B19" t="s">
        <v>65</v>
      </c>
      <c r="C19" s="1">
        <v>606.52</v>
      </c>
      <c r="D19" s="1">
        <v>56177.11</v>
      </c>
      <c r="E19">
        <v>312</v>
      </c>
      <c r="F19">
        <v>1</v>
      </c>
      <c r="G19" s="1">
        <v>0</v>
      </c>
      <c r="H19" t="s">
        <v>49</v>
      </c>
      <c r="I19" t="s">
        <v>14</v>
      </c>
      <c r="J19" t="s">
        <v>15</v>
      </c>
    </row>
    <row r="20" spans="1:10" x14ac:dyDescent="0.2">
      <c r="A20" t="s">
        <v>66</v>
      </c>
      <c r="B20" t="s">
        <v>67</v>
      </c>
      <c r="C20" s="1">
        <v>544.94000000000005</v>
      </c>
      <c r="D20" s="1">
        <v>56674.01</v>
      </c>
      <c r="E20">
        <v>200</v>
      </c>
      <c r="F20">
        <v>11</v>
      </c>
      <c r="G20" s="1">
        <v>0</v>
      </c>
      <c r="H20" t="s">
        <v>68</v>
      </c>
      <c r="I20" t="s">
        <v>18</v>
      </c>
      <c r="J20" t="s">
        <v>15</v>
      </c>
    </row>
    <row r="21" spans="1:10" x14ac:dyDescent="0.2">
      <c r="A21" t="s">
        <v>69</v>
      </c>
      <c r="B21" t="s">
        <v>70</v>
      </c>
      <c r="C21" s="1">
        <v>496.71199999999999</v>
      </c>
      <c r="D21" s="1">
        <v>49681.96</v>
      </c>
      <c r="E21">
        <v>1322</v>
      </c>
      <c r="F21">
        <v>0</v>
      </c>
      <c r="G21" s="1">
        <v>0</v>
      </c>
      <c r="H21" t="s">
        <v>40</v>
      </c>
      <c r="I21" t="s">
        <v>28</v>
      </c>
      <c r="J21" t="s">
        <v>15</v>
      </c>
    </row>
    <row r="22" spans="1:10" x14ac:dyDescent="0.2">
      <c r="A22" t="s">
        <v>71</v>
      </c>
      <c r="B22" t="s">
        <v>72</v>
      </c>
      <c r="C22" s="1">
        <v>401.87599999999998</v>
      </c>
      <c r="D22" s="1">
        <v>36729.949999999997</v>
      </c>
      <c r="E22">
        <v>893</v>
      </c>
      <c r="F22">
        <v>0</v>
      </c>
      <c r="G22" s="1">
        <v>0</v>
      </c>
      <c r="H22" t="s">
        <v>73</v>
      </c>
      <c r="I22" t="s">
        <v>74</v>
      </c>
      <c r="J22" t="s">
        <v>15</v>
      </c>
    </row>
    <row r="23" spans="1:10" x14ac:dyDescent="0.2">
      <c r="A23" t="s">
        <v>75</v>
      </c>
      <c r="B23" t="s">
        <v>76</v>
      </c>
      <c r="C23" s="1">
        <v>378.322</v>
      </c>
      <c r="D23" s="1">
        <v>48475.05</v>
      </c>
      <c r="E23">
        <v>851</v>
      </c>
      <c r="F23">
        <v>0</v>
      </c>
      <c r="G23" s="1">
        <v>0</v>
      </c>
      <c r="H23" t="s">
        <v>43</v>
      </c>
      <c r="I23" t="s">
        <v>28</v>
      </c>
      <c r="J23" t="s">
        <v>15</v>
      </c>
    </row>
    <row r="24" spans="1:10" x14ac:dyDescent="0.2">
      <c r="A24" t="s">
        <v>77</v>
      </c>
      <c r="B24" t="s">
        <v>78</v>
      </c>
      <c r="C24" s="1">
        <v>372.47750000000002</v>
      </c>
      <c r="D24" s="1">
        <v>43942.17</v>
      </c>
      <c r="E24">
        <v>104</v>
      </c>
      <c r="F24">
        <v>4</v>
      </c>
      <c r="G24" s="1">
        <v>0</v>
      </c>
      <c r="H24" t="s">
        <v>79</v>
      </c>
      <c r="I24" t="s">
        <v>18</v>
      </c>
      <c r="J24" t="s">
        <v>15</v>
      </c>
    </row>
    <row r="25" spans="1:10" x14ac:dyDescent="0.2">
      <c r="A25" t="s">
        <v>80</v>
      </c>
      <c r="B25" t="s">
        <v>81</v>
      </c>
      <c r="C25" s="1">
        <v>370.22199999999998</v>
      </c>
      <c r="D25" s="1">
        <v>45767.37</v>
      </c>
      <c r="E25">
        <v>1692</v>
      </c>
      <c r="F25">
        <v>0</v>
      </c>
      <c r="G25" s="1">
        <v>0</v>
      </c>
      <c r="H25" t="s">
        <v>31</v>
      </c>
      <c r="I25" t="s">
        <v>28</v>
      </c>
      <c r="J25" t="s">
        <v>15</v>
      </c>
    </row>
    <row r="26" spans="1:10" x14ac:dyDescent="0.2">
      <c r="A26" t="s">
        <v>82</v>
      </c>
      <c r="B26" t="s">
        <v>83</v>
      </c>
      <c r="C26" s="1">
        <v>362.298</v>
      </c>
      <c r="D26" s="1">
        <v>40864.22</v>
      </c>
      <c r="E26">
        <v>967</v>
      </c>
      <c r="F26">
        <v>2</v>
      </c>
      <c r="G26" s="1">
        <v>0</v>
      </c>
      <c r="H26" t="s">
        <v>21</v>
      </c>
      <c r="I26" t="s">
        <v>28</v>
      </c>
      <c r="J26" t="s">
        <v>15</v>
      </c>
    </row>
    <row r="27" spans="1:10" x14ac:dyDescent="0.2">
      <c r="A27" t="s">
        <v>84</v>
      </c>
      <c r="B27" t="s">
        <v>85</v>
      </c>
      <c r="C27" s="1">
        <v>346.37400000000002</v>
      </c>
      <c r="D27" s="1">
        <v>107790.73</v>
      </c>
      <c r="E27">
        <v>1221</v>
      </c>
      <c r="F27">
        <v>0</v>
      </c>
      <c r="G27" s="1">
        <v>0</v>
      </c>
      <c r="H27" t="s">
        <v>43</v>
      </c>
      <c r="I27" t="s">
        <v>28</v>
      </c>
      <c r="J27" t="s">
        <v>15</v>
      </c>
    </row>
    <row r="28" spans="1:10" x14ac:dyDescent="0.2">
      <c r="A28" t="s">
        <v>86</v>
      </c>
      <c r="B28" t="s">
        <v>87</v>
      </c>
      <c r="C28" s="1">
        <v>336.95400000000001</v>
      </c>
      <c r="D28" s="1">
        <v>31834.62</v>
      </c>
      <c r="E28">
        <v>532</v>
      </c>
      <c r="F28">
        <v>0</v>
      </c>
      <c r="G28" s="1">
        <v>0</v>
      </c>
      <c r="H28" t="s">
        <v>58</v>
      </c>
      <c r="I28" t="s">
        <v>28</v>
      </c>
      <c r="J28" t="s">
        <v>15</v>
      </c>
    </row>
    <row r="29" spans="1:10" x14ac:dyDescent="0.2">
      <c r="A29" t="s">
        <v>88</v>
      </c>
      <c r="B29" t="s">
        <v>89</v>
      </c>
      <c r="C29" s="1">
        <v>329.68799999999999</v>
      </c>
      <c r="D29" s="1">
        <v>29158.16</v>
      </c>
      <c r="E29">
        <v>463</v>
      </c>
      <c r="F29">
        <v>0</v>
      </c>
      <c r="G29" s="1">
        <v>0</v>
      </c>
      <c r="H29" t="s">
        <v>79</v>
      </c>
      <c r="I29" t="s">
        <v>28</v>
      </c>
      <c r="J29" t="s">
        <v>15</v>
      </c>
    </row>
    <row r="30" spans="1:10" x14ac:dyDescent="0.2">
      <c r="A30" t="s">
        <v>90</v>
      </c>
      <c r="B30" t="s">
        <v>91</v>
      </c>
      <c r="C30" s="1">
        <v>327.36</v>
      </c>
      <c r="D30" s="1">
        <v>27762.16</v>
      </c>
      <c r="E30">
        <v>2220</v>
      </c>
      <c r="F30">
        <v>0</v>
      </c>
      <c r="G30" s="1">
        <v>0</v>
      </c>
      <c r="H30" t="s">
        <v>27</v>
      </c>
      <c r="I30" t="s">
        <v>28</v>
      </c>
      <c r="J30" t="s">
        <v>15</v>
      </c>
    </row>
    <row r="31" spans="1:10" x14ac:dyDescent="0.2">
      <c r="A31" t="s">
        <v>92</v>
      </c>
      <c r="B31" t="s">
        <v>93</v>
      </c>
      <c r="C31" s="1">
        <v>314.23200000000003</v>
      </c>
      <c r="D31" s="1">
        <v>45562.25</v>
      </c>
      <c r="E31">
        <v>1487</v>
      </c>
      <c r="F31">
        <v>0</v>
      </c>
      <c r="G31" s="1">
        <v>0</v>
      </c>
      <c r="H31" t="s">
        <v>13</v>
      </c>
      <c r="I31" t="s">
        <v>94</v>
      </c>
      <c r="J31" t="s">
        <v>15</v>
      </c>
    </row>
    <row r="32" spans="1:10" x14ac:dyDescent="0.2">
      <c r="A32" t="s">
        <v>95</v>
      </c>
      <c r="B32" t="s">
        <v>96</v>
      </c>
      <c r="C32" s="1">
        <v>308.57</v>
      </c>
      <c r="D32" s="1">
        <v>41990.38</v>
      </c>
      <c r="E32">
        <v>1450</v>
      </c>
      <c r="F32">
        <v>0</v>
      </c>
      <c r="G32" s="1">
        <v>0</v>
      </c>
      <c r="H32" t="s">
        <v>40</v>
      </c>
      <c r="I32" t="s">
        <v>28</v>
      </c>
      <c r="J32" t="s">
        <v>15</v>
      </c>
    </row>
    <row r="33" spans="1:10" x14ac:dyDescent="0.2">
      <c r="A33" t="s">
        <v>97</v>
      </c>
      <c r="B33" t="s">
        <v>98</v>
      </c>
      <c r="C33" s="1">
        <v>287.90199999999999</v>
      </c>
      <c r="D33" s="1">
        <v>26618.400000000001</v>
      </c>
      <c r="E33">
        <v>863</v>
      </c>
      <c r="F33">
        <v>1</v>
      </c>
      <c r="G33" s="1">
        <v>0</v>
      </c>
      <c r="H33" t="s">
        <v>58</v>
      </c>
      <c r="I33" t="s">
        <v>28</v>
      </c>
      <c r="J33" t="s">
        <v>15</v>
      </c>
    </row>
    <row r="34" spans="1:10" x14ac:dyDescent="0.2">
      <c r="A34" t="s">
        <v>99</v>
      </c>
      <c r="B34" t="s">
        <v>100</v>
      </c>
      <c r="C34" s="1">
        <v>276.56599999999997</v>
      </c>
      <c r="D34" s="1">
        <v>26194.42</v>
      </c>
      <c r="E34">
        <v>722</v>
      </c>
      <c r="F34">
        <v>0</v>
      </c>
      <c r="G34" s="1">
        <v>0</v>
      </c>
      <c r="H34" t="s">
        <v>101</v>
      </c>
      <c r="I34" t="s">
        <v>28</v>
      </c>
      <c r="J34" t="s">
        <v>15</v>
      </c>
    </row>
    <row r="35" spans="1:10" x14ac:dyDescent="0.2">
      <c r="A35" t="s">
        <v>102</v>
      </c>
      <c r="B35" t="s">
        <v>103</v>
      </c>
      <c r="C35" s="1">
        <v>274.16199999999998</v>
      </c>
      <c r="D35" s="1">
        <v>32389.759999999998</v>
      </c>
      <c r="E35">
        <v>915</v>
      </c>
      <c r="F35">
        <v>0</v>
      </c>
      <c r="G35" s="1">
        <v>0</v>
      </c>
      <c r="H35" t="s">
        <v>43</v>
      </c>
      <c r="I35" t="s">
        <v>28</v>
      </c>
      <c r="J35" t="s">
        <v>15</v>
      </c>
    </row>
    <row r="36" spans="1:10" x14ac:dyDescent="0.2">
      <c r="A36" t="s">
        <v>104</v>
      </c>
      <c r="B36" t="s">
        <v>105</v>
      </c>
      <c r="C36" s="1">
        <v>268.01799999999997</v>
      </c>
      <c r="D36" s="1">
        <v>35927.269999999997</v>
      </c>
      <c r="E36">
        <v>2239</v>
      </c>
      <c r="F36">
        <v>1</v>
      </c>
      <c r="G36" s="1">
        <v>0</v>
      </c>
      <c r="H36" t="s">
        <v>79</v>
      </c>
      <c r="I36" t="s">
        <v>28</v>
      </c>
      <c r="J36" t="s">
        <v>15</v>
      </c>
    </row>
    <row r="37" spans="1:10" x14ac:dyDescent="0.2">
      <c r="A37" t="s">
        <v>106</v>
      </c>
      <c r="B37" t="s">
        <v>107</v>
      </c>
      <c r="C37" s="1">
        <v>262.05</v>
      </c>
      <c r="D37" s="1">
        <v>17687.169999999998</v>
      </c>
      <c r="E37">
        <v>579</v>
      </c>
      <c r="F37">
        <v>0</v>
      </c>
      <c r="G37" s="1">
        <v>0</v>
      </c>
      <c r="H37" t="s">
        <v>40</v>
      </c>
      <c r="I37" t="s">
        <v>18</v>
      </c>
      <c r="J37" t="s">
        <v>15</v>
      </c>
    </row>
    <row r="38" spans="1:10" x14ac:dyDescent="0.2">
      <c r="A38" t="s">
        <v>108</v>
      </c>
      <c r="B38" t="s">
        <v>109</v>
      </c>
      <c r="C38" s="1">
        <v>253.6925</v>
      </c>
      <c r="D38" s="1">
        <v>25309.11</v>
      </c>
      <c r="E38">
        <v>542</v>
      </c>
      <c r="F38">
        <v>0</v>
      </c>
      <c r="G38" s="1">
        <v>0</v>
      </c>
      <c r="H38" t="s">
        <v>68</v>
      </c>
      <c r="I38" t="s">
        <v>18</v>
      </c>
      <c r="J38" t="s">
        <v>15</v>
      </c>
    </row>
    <row r="39" spans="1:10" x14ac:dyDescent="0.2">
      <c r="A39" t="s">
        <v>110</v>
      </c>
      <c r="B39" t="s">
        <v>111</v>
      </c>
      <c r="C39" s="1">
        <v>252.13800000000001</v>
      </c>
      <c r="D39" s="1">
        <v>26299.68</v>
      </c>
      <c r="E39">
        <v>1345</v>
      </c>
      <c r="F39">
        <v>0</v>
      </c>
      <c r="G39" s="1">
        <v>0</v>
      </c>
      <c r="H39" t="s">
        <v>13</v>
      </c>
      <c r="I39" t="s">
        <v>28</v>
      </c>
      <c r="J39" t="s">
        <v>15</v>
      </c>
    </row>
    <row r="40" spans="1:10" x14ac:dyDescent="0.2">
      <c r="A40" t="s">
        <v>112</v>
      </c>
      <c r="B40" t="s">
        <v>113</v>
      </c>
      <c r="C40" s="1">
        <v>245.26</v>
      </c>
      <c r="D40" s="1">
        <v>33596.44</v>
      </c>
      <c r="E40">
        <v>1057</v>
      </c>
      <c r="F40">
        <v>0</v>
      </c>
      <c r="G40" s="1">
        <v>0</v>
      </c>
      <c r="H40" t="s">
        <v>27</v>
      </c>
      <c r="I40" t="s">
        <v>28</v>
      </c>
      <c r="J40" t="s">
        <v>15</v>
      </c>
    </row>
    <row r="41" spans="1:10" x14ac:dyDescent="0.2">
      <c r="A41" t="s">
        <v>114</v>
      </c>
      <c r="B41" t="s">
        <v>115</v>
      </c>
      <c r="C41" s="1">
        <v>243.12799999999999</v>
      </c>
      <c r="D41" s="1">
        <v>52898.75</v>
      </c>
      <c r="E41">
        <v>1504</v>
      </c>
      <c r="F41">
        <v>1</v>
      </c>
      <c r="G41" s="1">
        <v>0</v>
      </c>
      <c r="H41" t="s">
        <v>40</v>
      </c>
      <c r="I41" t="s">
        <v>28</v>
      </c>
      <c r="J41" t="s">
        <v>15</v>
      </c>
    </row>
    <row r="42" spans="1:10" x14ac:dyDescent="0.2">
      <c r="A42" t="s">
        <v>116</v>
      </c>
      <c r="B42" t="s">
        <v>117</v>
      </c>
      <c r="C42" s="1">
        <v>223.3475</v>
      </c>
      <c r="D42" s="1">
        <v>17197.96</v>
      </c>
      <c r="E42">
        <v>828</v>
      </c>
      <c r="F42">
        <v>0</v>
      </c>
      <c r="G42" s="1">
        <v>0</v>
      </c>
      <c r="H42" t="s">
        <v>118</v>
      </c>
      <c r="I42" t="s">
        <v>18</v>
      </c>
      <c r="J42" t="s">
        <v>15</v>
      </c>
    </row>
    <row r="43" spans="1:10" x14ac:dyDescent="0.2">
      <c r="A43" t="s">
        <v>119</v>
      </c>
      <c r="B43" t="s">
        <v>120</v>
      </c>
      <c r="C43" s="1">
        <v>209.416</v>
      </c>
      <c r="D43" s="1">
        <v>18580.78</v>
      </c>
      <c r="E43">
        <v>431</v>
      </c>
      <c r="F43">
        <v>0</v>
      </c>
      <c r="G43" s="1">
        <v>0</v>
      </c>
      <c r="H43" t="s">
        <v>40</v>
      </c>
      <c r="I43" t="s">
        <v>28</v>
      </c>
      <c r="J43" t="s">
        <v>15</v>
      </c>
    </row>
    <row r="44" spans="1:10" x14ac:dyDescent="0.2">
      <c r="A44" t="s">
        <v>121</v>
      </c>
      <c r="B44" t="s">
        <v>122</v>
      </c>
      <c r="C44" s="1">
        <v>200.6</v>
      </c>
      <c r="D44" s="1">
        <v>20018.98</v>
      </c>
      <c r="E44">
        <v>1081</v>
      </c>
      <c r="F44">
        <v>0</v>
      </c>
      <c r="G44" s="1">
        <v>0</v>
      </c>
      <c r="H44" t="s">
        <v>27</v>
      </c>
      <c r="I44" t="s">
        <v>123</v>
      </c>
      <c r="J44" t="s">
        <v>15</v>
      </c>
    </row>
    <row r="45" spans="1:10" x14ac:dyDescent="0.2">
      <c r="A45" t="s">
        <v>124</v>
      </c>
      <c r="B45" t="s">
        <v>125</v>
      </c>
      <c r="C45" s="1">
        <v>194.12799999999999</v>
      </c>
      <c r="D45" s="1">
        <v>16909.990000000002</v>
      </c>
      <c r="E45">
        <v>504</v>
      </c>
      <c r="F45">
        <v>0</v>
      </c>
      <c r="G45" s="1">
        <v>0</v>
      </c>
      <c r="H45" t="s">
        <v>68</v>
      </c>
      <c r="I45" t="s">
        <v>28</v>
      </c>
      <c r="J45" t="s">
        <v>15</v>
      </c>
    </row>
    <row r="46" spans="1:10" x14ac:dyDescent="0.2">
      <c r="A46" t="s">
        <v>126</v>
      </c>
      <c r="B46" t="s">
        <v>127</v>
      </c>
      <c r="C46" s="1">
        <v>191.143</v>
      </c>
      <c r="D46" s="1">
        <v>22361.5</v>
      </c>
      <c r="E46">
        <v>535</v>
      </c>
      <c r="F46">
        <v>0</v>
      </c>
      <c r="G46" s="1">
        <v>0</v>
      </c>
      <c r="H46" t="s">
        <v>31</v>
      </c>
      <c r="I46" t="s">
        <v>74</v>
      </c>
      <c r="J46" t="s">
        <v>15</v>
      </c>
    </row>
    <row r="47" spans="1:10" x14ac:dyDescent="0.2">
      <c r="A47" t="s">
        <v>128</v>
      </c>
      <c r="B47" t="s">
        <v>129</v>
      </c>
      <c r="C47" s="1">
        <v>181.43</v>
      </c>
      <c r="D47" s="1">
        <v>25562</v>
      </c>
      <c r="E47">
        <v>914</v>
      </c>
      <c r="F47">
        <v>0</v>
      </c>
      <c r="G47" s="1">
        <v>0</v>
      </c>
      <c r="H47" t="s">
        <v>31</v>
      </c>
      <c r="I47" t="s">
        <v>28</v>
      </c>
      <c r="J47" t="s">
        <v>15</v>
      </c>
    </row>
    <row r="48" spans="1:10" x14ac:dyDescent="0.2">
      <c r="A48" t="s">
        <v>130</v>
      </c>
      <c r="B48" t="s">
        <v>131</v>
      </c>
      <c r="C48" s="1">
        <v>174.33</v>
      </c>
      <c r="D48" s="1">
        <v>19219.71</v>
      </c>
      <c r="E48">
        <v>930</v>
      </c>
      <c r="F48">
        <v>0</v>
      </c>
      <c r="G48" s="1">
        <v>0</v>
      </c>
      <c r="H48" t="s">
        <v>40</v>
      </c>
      <c r="I48" t="s">
        <v>28</v>
      </c>
      <c r="J48" t="s">
        <v>15</v>
      </c>
    </row>
    <row r="49" spans="1:10" x14ac:dyDescent="0.2">
      <c r="A49" t="s">
        <v>132</v>
      </c>
      <c r="B49" t="s">
        <v>133</v>
      </c>
      <c r="C49" s="1">
        <v>169.815</v>
      </c>
      <c r="D49" s="1">
        <v>17848.5</v>
      </c>
      <c r="E49">
        <v>8</v>
      </c>
      <c r="F49">
        <v>0</v>
      </c>
      <c r="G49" s="1">
        <v>0</v>
      </c>
      <c r="H49" t="s">
        <v>101</v>
      </c>
      <c r="I49" t="s">
        <v>18</v>
      </c>
      <c r="J49" t="s">
        <v>15</v>
      </c>
    </row>
    <row r="50" spans="1:10" x14ac:dyDescent="0.2">
      <c r="A50" t="s">
        <v>134</v>
      </c>
      <c r="B50" t="s">
        <v>129</v>
      </c>
      <c r="C50" s="1">
        <v>131.92400000000001</v>
      </c>
      <c r="D50" s="1">
        <v>20508.75</v>
      </c>
      <c r="E50">
        <v>904</v>
      </c>
      <c r="F50">
        <v>1</v>
      </c>
      <c r="G50" s="1">
        <v>0</v>
      </c>
      <c r="H50" t="s">
        <v>58</v>
      </c>
      <c r="I50" t="s">
        <v>28</v>
      </c>
      <c r="J50" t="s">
        <v>15</v>
      </c>
    </row>
    <row r="51" spans="1:10" x14ac:dyDescent="0.2">
      <c r="A51" t="s">
        <v>135</v>
      </c>
      <c r="B51" t="s">
        <v>136</v>
      </c>
      <c r="C51" s="1">
        <v>127.77800000000001</v>
      </c>
      <c r="D51" s="1">
        <v>11501.89</v>
      </c>
      <c r="E51">
        <v>271</v>
      </c>
      <c r="F51">
        <v>0</v>
      </c>
      <c r="G51" s="1">
        <v>0</v>
      </c>
      <c r="H51" t="s">
        <v>43</v>
      </c>
      <c r="I51" t="s">
        <v>28</v>
      </c>
      <c r="J51" t="s">
        <v>15</v>
      </c>
    </row>
    <row r="52" spans="1:10" x14ac:dyDescent="0.2">
      <c r="A52" t="s">
        <v>137</v>
      </c>
      <c r="B52" t="s">
        <v>138</v>
      </c>
      <c r="C52" s="1">
        <v>122.51</v>
      </c>
      <c r="D52" s="1">
        <v>15198.2</v>
      </c>
      <c r="E52">
        <v>486</v>
      </c>
      <c r="F52">
        <v>0</v>
      </c>
      <c r="G52" s="1">
        <v>0</v>
      </c>
      <c r="H52" t="s">
        <v>27</v>
      </c>
      <c r="I52" t="s">
        <v>28</v>
      </c>
      <c r="J52" t="s">
        <v>15</v>
      </c>
    </row>
    <row r="53" spans="1:10" x14ac:dyDescent="0.2">
      <c r="A53" t="s">
        <v>139</v>
      </c>
      <c r="B53" t="s">
        <v>140</v>
      </c>
      <c r="C53" s="1">
        <v>121.36750000000001</v>
      </c>
      <c r="D53" s="1">
        <v>11785.97</v>
      </c>
      <c r="E53">
        <v>543</v>
      </c>
      <c r="F53">
        <v>0</v>
      </c>
      <c r="G53" s="1">
        <v>0</v>
      </c>
      <c r="H53" t="s">
        <v>46</v>
      </c>
      <c r="I53" t="s">
        <v>18</v>
      </c>
      <c r="J53" t="s">
        <v>15</v>
      </c>
    </row>
    <row r="54" spans="1:10" x14ac:dyDescent="0.2">
      <c r="A54" t="s">
        <v>141</v>
      </c>
      <c r="B54" t="s">
        <v>142</v>
      </c>
      <c r="C54" s="1">
        <v>115.67749999999999</v>
      </c>
      <c r="D54" s="1">
        <v>7430.06</v>
      </c>
      <c r="E54">
        <v>181</v>
      </c>
      <c r="F54">
        <v>0</v>
      </c>
      <c r="G54" s="1">
        <v>0</v>
      </c>
      <c r="H54" t="s">
        <v>46</v>
      </c>
      <c r="I54" t="s">
        <v>18</v>
      </c>
      <c r="J54" t="s">
        <v>15</v>
      </c>
    </row>
    <row r="55" spans="1:10" x14ac:dyDescent="0.2">
      <c r="A55" t="s">
        <v>143</v>
      </c>
      <c r="B55" t="s">
        <v>144</v>
      </c>
      <c r="C55" s="1">
        <v>111.636</v>
      </c>
      <c r="D55" s="1">
        <v>10262.209999999999</v>
      </c>
      <c r="E55">
        <v>355</v>
      </c>
      <c r="F55">
        <v>0</v>
      </c>
      <c r="G55" s="1">
        <v>0</v>
      </c>
      <c r="H55" t="s">
        <v>21</v>
      </c>
      <c r="I55" t="s">
        <v>28</v>
      </c>
      <c r="J55" t="s">
        <v>15</v>
      </c>
    </row>
    <row r="56" spans="1:10" x14ac:dyDescent="0.2">
      <c r="A56" t="s">
        <v>145</v>
      </c>
      <c r="B56" t="s">
        <v>146</v>
      </c>
      <c r="C56" s="1">
        <v>109.42400000000001</v>
      </c>
      <c r="D56" s="1">
        <v>16168.98</v>
      </c>
      <c r="E56">
        <v>442</v>
      </c>
      <c r="F56">
        <v>0</v>
      </c>
      <c r="G56" s="1">
        <v>0</v>
      </c>
      <c r="H56" t="s">
        <v>13</v>
      </c>
      <c r="I56" t="s">
        <v>63</v>
      </c>
      <c r="J56" t="s">
        <v>15</v>
      </c>
    </row>
    <row r="57" spans="1:10" x14ac:dyDescent="0.2">
      <c r="A57" t="s">
        <v>147</v>
      </c>
      <c r="B57" t="s">
        <v>148</v>
      </c>
      <c r="C57" s="1">
        <v>102.934</v>
      </c>
      <c r="D57" s="1">
        <v>13824.94</v>
      </c>
      <c r="E57">
        <v>903</v>
      </c>
      <c r="F57">
        <v>0</v>
      </c>
      <c r="G57" s="1">
        <v>0</v>
      </c>
      <c r="H57" t="s">
        <v>79</v>
      </c>
      <c r="I57" t="s">
        <v>28</v>
      </c>
      <c r="J57" t="s">
        <v>15</v>
      </c>
    </row>
    <row r="58" spans="1:10" x14ac:dyDescent="0.2">
      <c r="A58" t="s">
        <v>149</v>
      </c>
      <c r="B58" t="s">
        <v>150</v>
      </c>
      <c r="C58" s="1">
        <v>100.998</v>
      </c>
      <c r="D58" s="1">
        <v>10765.6</v>
      </c>
      <c r="E58">
        <v>249</v>
      </c>
      <c r="F58">
        <v>0</v>
      </c>
      <c r="G58" s="1">
        <v>0</v>
      </c>
      <c r="H58" t="s">
        <v>40</v>
      </c>
      <c r="I58" t="s">
        <v>28</v>
      </c>
      <c r="J58" t="s">
        <v>15</v>
      </c>
    </row>
    <row r="59" spans="1:10" x14ac:dyDescent="0.2">
      <c r="A59" t="s">
        <v>151</v>
      </c>
      <c r="B59" t="s">
        <v>152</v>
      </c>
      <c r="C59" s="1">
        <v>96.695999999999998</v>
      </c>
      <c r="D59" s="1">
        <v>12016.87</v>
      </c>
      <c r="E59">
        <v>85</v>
      </c>
      <c r="F59">
        <v>0</v>
      </c>
      <c r="G59" s="1">
        <v>0</v>
      </c>
      <c r="H59" t="s">
        <v>58</v>
      </c>
      <c r="I59" t="s">
        <v>28</v>
      </c>
      <c r="J59" t="s">
        <v>15</v>
      </c>
    </row>
    <row r="60" spans="1:10" x14ac:dyDescent="0.2">
      <c r="A60" t="s">
        <v>153</v>
      </c>
      <c r="B60" t="s">
        <v>154</v>
      </c>
      <c r="C60" s="1">
        <v>78.784000000000006</v>
      </c>
      <c r="D60" s="1">
        <v>8040.12</v>
      </c>
      <c r="E60">
        <v>252</v>
      </c>
      <c r="F60">
        <v>0</v>
      </c>
      <c r="G60" s="1">
        <v>0</v>
      </c>
      <c r="H60" t="s">
        <v>27</v>
      </c>
      <c r="I60" t="s">
        <v>28</v>
      </c>
      <c r="J60" t="s">
        <v>15</v>
      </c>
    </row>
    <row r="61" spans="1:10" x14ac:dyDescent="0.2">
      <c r="A61" t="s">
        <v>155</v>
      </c>
      <c r="B61" t="s">
        <v>156</v>
      </c>
      <c r="C61" s="1">
        <v>76.31</v>
      </c>
      <c r="D61" s="1">
        <v>6760.11</v>
      </c>
      <c r="E61">
        <v>421</v>
      </c>
      <c r="F61">
        <v>0</v>
      </c>
      <c r="G61" s="1">
        <v>0</v>
      </c>
      <c r="H61" t="s">
        <v>13</v>
      </c>
      <c r="I61" t="s">
        <v>28</v>
      </c>
      <c r="J61" t="s">
        <v>15</v>
      </c>
    </row>
    <row r="62" spans="1:10" x14ac:dyDescent="0.2">
      <c r="A62" t="s">
        <v>157</v>
      </c>
      <c r="B62" t="s">
        <v>158</v>
      </c>
      <c r="C62" s="1">
        <v>60.311999999999998</v>
      </c>
      <c r="D62" s="1">
        <v>5540.97</v>
      </c>
      <c r="E62">
        <v>279</v>
      </c>
      <c r="F62">
        <v>0</v>
      </c>
      <c r="G62" s="1">
        <v>0</v>
      </c>
      <c r="H62" t="s">
        <v>13</v>
      </c>
      <c r="I62" t="s">
        <v>28</v>
      </c>
      <c r="J62" t="s">
        <v>15</v>
      </c>
    </row>
    <row r="63" spans="1:10" x14ac:dyDescent="0.2">
      <c r="A63" t="s">
        <v>159</v>
      </c>
      <c r="B63" t="s">
        <v>160</v>
      </c>
      <c r="C63" s="1">
        <v>51.84</v>
      </c>
      <c r="D63" s="1">
        <v>15682.78</v>
      </c>
      <c r="E63">
        <v>750</v>
      </c>
      <c r="F63">
        <v>0</v>
      </c>
      <c r="G63" s="1">
        <v>0</v>
      </c>
      <c r="H63" t="s">
        <v>46</v>
      </c>
      <c r="I63" t="s">
        <v>28</v>
      </c>
      <c r="J63" t="s">
        <v>15</v>
      </c>
    </row>
    <row r="64" spans="1:10" x14ac:dyDescent="0.2">
      <c r="A64" t="s">
        <v>161</v>
      </c>
      <c r="B64" t="s">
        <v>162</v>
      </c>
      <c r="C64" s="1">
        <v>46.503999999999998</v>
      </c>
      <c r="D64" s="1">
        <v>5649.81</v>
      </c>
      <c r="E64">
        <v>371</v>
      </c>
      <c r="F64">
        <v>0</v>
      </c>
      <c r="G64" s="1">
        <v>0</v>
      </c>
      <c r="H64" t="s">
        <v>58</v>
      </c>
      <c r="I64" t="s">
        <v>28</v>
      </c>
      <c r="J64" t="s">
        <v>15</v>
      </c>
    </row>
    <row r="65" spans="1:10" x14ac:dyDescent="0.2">
      <c r="A65" t="s">
        <v>163</v>
      </c>
      <c r="B65" t="s">
        <v>164</v>
      </c>
      <c r="C65" s="1">
        <v>38.74</v>
      </c>
      <c r="D65" s="1">
        <v>7045.7</v>
      </c>
      <c r="E65">
        <v>307</v>
      </c>
      <c r="F65">
        <v>0</v>
      </c>
      <c r="G65" s="1">
        <v>0</v>
      </c>
      <c r="H65" t="s">
        <v>46</v>
      </c>
      <c r="I65" t="s">
        <v>28</v>
      </c>
      <c r="J65" t="s">
        <v>15</v>
      </c>
    </row>
    <row r="66" spans="1:10" x14ac:dyDescent="0.2">
      <c r="A66" t="s">
        <v>165</v>
      </c>
      <c r="B66" t="s">
        <v>166</v>
      </c>
      <c r="C66" s="1">
        <v>37.967500000000001</v>
      </c>
      <c r="D66" s="1">
        <v>5568.78</v>
      </c>
      <c r="E66">
        <v>15</v>
      </c>
      <c r="F66">
        <v>0</v>
      </c>
      <c r="G66" s="1">
        <v>0</v>
      </c>
      <c r="H66" t="s">
        <v>79</v>
      </c>
      <c r="I66" t="s">
        <v>18</v>
      </c>
      <c r="J66" t="s">
        <v>15</v>
      </c>
    </row>
    <row r="67" spans="1:10" x14ac:dyDescent="0.2">
      <c r="A67" t="s">
        <v>167</v>
      </c>
      <c r="B67" t="s">
        <v>168</v>
      </c>
      <c r="C67" s="1">
        <v>34.06</v>
      </c>
      <c r="D67" s="1">
        <v>1453</v>
      </c>
      <c r="E67">
        <v>307</v>
      </c>
      <c r="F67">
        <v>0</v>
      </c>
      <c r="G67" s="1">
        <v>0</v>
      </c>
      <c r="H67" t="s">
        <v>27</v>
      </c>
      <c r="I67" t="s">
        <v>28</v>
      </c>
      <c r="J67" t="s">
        <v>15</v>
      </c>
    </row>
    <row r="68" spans="1:10" x14ac:dyDescent="0.2">
      <c r="A68" t="s">
        <v>169</v>
      </c>
      <c r="B68" t="s">
        <v>170</v>
      </c>
      <c r="C68" s="1">
        <v>33.1875</v>
      </c>
      <c r="D68" s="1">
        <v>0</v>
      </c>
      <c r="E68">
        <v>0</v>
      </c>
      <c r="F68">
        <v>0</v>
      </c>
      <c r="G68" s="1">
        <v>0</v>
      </c>
      <c r="H68" t="s">
        <v>101</v>
      </c>
      <c r="I68" t="s">
        <v>18</v>
      </c>
      <c r="J68" t="s">
        <v>15</v>
      </c>
    </row>
    <row r="69" spans="1:10" x14ac:dyDescent="0.2">
      <c r="A69" t="s">
        <v>171</v>
      </c>
      <c r="B69" t="s">
        <v>172</v>
      </c>
      <c r="C69" s="1">
        <v>32.067500000000003</v>
      </c>
      <c r="D69" s="1">
        <v>1060.8</v>
      </c>
      <c r="E69">
        <v>32</v>
      </c>
      <c r="F69">
        <v>0</v>
      </c>
      <c r="G69" s="1">
        <v>0</v>
      </c>
      <c r="H69" t="s">
        <v>79</v>
      </c>
      <c r="I69" t="s">
        <v>18</v>
      </c>
      <c r="J69" t="s">
        <v>15</v>
      </c>
    </row>
    <row r="70" spans="1:10" x14ac:dyDescent="0.2">
      <c r="A70" t="s">
        <v>173</v>
      </c>
      <c r="B70" t="s">
        <v>174</v>
      </c>
      <c r="C70" s="1">
        <v>30.23</v>
      </c>
      <c r="D70" s="1">
        <v>762</v>
      </c>
      <c r="E70">
        <v>5</v>
      </c>
      <c r="F70">
        <v>0</v>
      </c>
      <c r="G70" s="1">
        <v>0</v>
      </c>
      <c r="H70" t="s">
        <v>101</v>
      </c>
      <c r="I70" t="s">
        <v>18</v>
      </c>
      <c r="J70" t="s">
        <v>15</v>
      </c>
    </row>
    <row r="71" spans="1:10" x14ac:dyDescent="0.2">
      <c r="A71" t="s">
        <v>175</v>
      </c>
      <c r="B71" t="s">
        <v>176</v>
      </c>
      <c r="C71" s="1">
        <v>17.399999999999999</v>
      </c>
      <c r="D71" s="1">
        <v>0</v>
      </c>
      <c r="E71">
        <v>0</v>
      </c>
      <c r="F71">
        <v>0</v>
      </c>
      <c r="G71" s="1">
        <v>0</v>
      </c>
      <c r="H71" t="s">
        <v>43</v>
      </c>
      <c r="I71" t="s">
        <v>177</v>
      </c>
      <c r="J71" t="s">
        <v>15</v>
      </c>
    </row>
    <row r="72" spans="1:10" x14ac:dyDescent="0.2">
      <c r="A72" t="s">
        <v>178</v>
      </c>
      <c r="B72" t="s">
        <v>179</v>
      </c>
      <c r="C72" s="1">
        <v>17.399999999999999</v>
      </c>
      <c r="D72" s="1">
        <v>0</v>
      </c>
      <c r="E72">
        <v>0</v>
      </c>
      <c r="F72">
        <v>0</v>
      </c>
      <c r="G72" s="1">
        <v>0</v>
      </c>
      <c r="H72" t="s">
        <v>43</v>
      </c>
      <c r="I72" t="s">
        <v>177</v>
      </c>
      <c r="J72" t="s">
        <v>15</v>
      </c>
    </row>
    <row r="73" spans="1:10" x14ac:dyDescent="0.2">
      <c r="A73" t="s">
        <v>180</v>
      </c>
      <c r="B73" t="s">
        <v>181</v>
      </c>
      <c r="C73" s="1">
        <v>14.4375</v>
      </c>
      <c r="D73" s="1">
        <v>0</v>
      </c>
      <c r="E73">
        <v>0</v>
      </c>
      <c r="F73">
        <v>0</v>
      </c>
      <c r="G73" s="1">
        <v>0</v>
      </c>
      <c r="H73" t="s">
        <v>43</v>
      </c>
      <c r="I73" t="s">
        <v>18</v>
      </c>
      <c r="J73" t="s">
        <v>15</v>
      </c>
    </row>
    <row r="74" spans="1:10" x14ac:dyDescent="0.2">
      <c r="A74" t="s">
        <v>182</v>
      </c>
      <c r="B74" t="s">
        <v>183</v>
      </c>
      <c r="C74" s="1">
        <v>14.4375</v>
      </c>
      <c r="D74" s="1">
        <v>0</v>
      </c>
      <c r="E74">
        <v>0</v>
      </c>
      <c r="F74">
        <v>0</v>
      </c>
      <c r="G74" s="1">
        <v>0</v>
      </c>
      <c r="H74" t="s">
        <v>43</v>
      </c>
      <c r="I74" t="s">
        <v>18</v>
      </c>
      <c r="J74" t="s">
        <v>15</v>
      </c>
    </row>
    <row r="75" spans="1:10" x14ac:dyDescent="0.2">
      <c r="A75" t="s">
        <v>184</v>
      </c>
      <c r="B75" t="s">
        <v>185</v>
      </c>
      <c r="C75" s="1">
        <v>14.4375</v>
      </c>
      <c r="D75" s="1">
        <v>0</v>
      </c>
      <c r="E75">
        <v>0</v>
      </c>
      <c r="F75">
        <v>0</v>
      </c>
      <c r="G75" s="1">
        <v>0</v>
      </c>
      <c r="H75" t="s">
        <v>68</v>
      </c>
      <c r="I75" t="s">
        <v>18</v>
      </c>
      <c r="J75" t="s">
        <v>15</v>
      </c>
    </row>
    <row r="76" spans="1:10" x14ac:dyDescent="0.2">
      <c r="A76" t="s">
        <v>186</v>
      </c>
      <c r="B76" t="s">
        <v>187</v>
      </c>
      <c r="C76" s="1">
        <v>11.4</v>
      </c>
      <c r="D76" s="1">
        <v>0</v>
      </c>
      <c r="E76">
        <v>0</v>
      </c>
      <c r="F76">
        <v>0</v>
      </c>
      <c r="G76" s="1">
        <v>0</v>
      </c>
      <c r="H76" t="s">
        <v>40</v>
      </c>
      <c r="I76" t="s">
        <v>28</v>
      </c>
      <c r="J76" t="s">
        <v>15</v>
      </c>
    </row>
    <row r="77" spans="1:10" x14ac:dyDescent="0.2">
      <c r="A77" t="s">
        <v>188</v>
      </c>
      <c r="B77" t="s">
        <v>189</v>
      </c>
      <c r="C77" s="1">
        <v>11.4</v>
      </c>
      <c r="D77" s="1">
        <v>0</v>
      </c>
      <c r="E77">
        <v>0</v>
      </c>
      <c r="F77">
        <v>0</v>
      </c>
      <c r="G77" s="1">
        <v>0</v>
      </c>
      <c r="H77" t="s">
        <v>43</v>
      </c>
      <c r="I77" t="s">
        <v>28</v>
      </c>
      <c r="J77" t="s">
        <v>15</v>
      </c>
    </row>
    <row r="78" spans="1:10" x14ac:dyDescent="0.2">
      <c r="A78" t="s">
        <v>190</v>
      </c>
      <c r="B78" t="s">
        <v>191</v>
      </c>
      <c r="C78" s="1">
        <v>11.4</v>
      </c>
      <c r="D78" s="1">
        <v>0</v>
      </c>
      <c r="E78">
        <v>0</v>
      </c>
      <c r="F78">
        <v>0</v>
      </c>
      <c r="G78" s="1">
        <v>0</v>
      </c>
      <c r="H78" t="s">
        <v>43</v>
      </c>
      <c r="I78" t="s">
        <v>28</v>
      </c>
      <c r="J78" t="s">
        <v>15</v>
      </c>
    </row>
    <row r="79" spans="1:10" x14ac:dyDescent="0.2">
      <c r="A79" t="s">
        <v>192</v>
      </c>
      <c r="B79" t="s">
        <v>193</v>
      </c>
      <c r="C79" s="1">
        <v>4.1479999999999997</v>
      </c>
      <c r="D79" s="1">
        <v>417.51</v>
      </c>
      <c r="E79">
        <v>18</v>
      </c>
      <c r="F79">
        <v>0</v>
      </c>
      <c r="G79" s="1">
        <v>0</v>
      </c>
      <c r="H79" t="s">
        <v>40</v>
      </c>
      <c r="I79" t="s">
        <v>28</v>
      </c>
      <c r="J79" t="s">
        <v>15</v>
      </c>
    </row>
    <row r="80" spans="1:10" s="2" customFormat="1" x14ac:dyDescent="0.2">
      <c r="A80" s="2" t="s">
        <v>194</v>
      </c>
      <c r="B80" s="2" t="s">
        <v>195</v>
      </c>
      <c r="C80" s="3">
        <v>0</v>
      </c>
      <c r="D80" s="3">
        <v>0</v>
      </c>
      <c r="E80" s="2">
        <v>0</v>
      </c>
      <c r="F80" s="2">
        <v>0</v>
      </c>
      <c r="G80" s="3">
        <v>0</v>
      </c>
      <c r="H80" s="2" t="s">
        <v>79</v>
      </c>
      <c r="I80" s="2" t="s">
        <v>18</v>
      </c>
      <c r="J80" s="2" t="s">
        <v>196</v>
      </c>
    </row>
    <row r="81" spans="1:10" x14ac:dyDescent="0.2">
      <c r="A81" t="s">
        <v>197</v>
      </c>
      <c r="B81" t="s">
        <v>198</v>
      </c>
      <c r="C81" s="1">
        <v>-0.6</v>
      </c>
      <c r="D81" s="1">
        <v>0</v>
      </c>
      <c r="E81">
        <v>0</v>
      </c>
      <c r="F81">
        <v>0</v>
      </c>
      <c r="G81" s="1">
        <v>0</v>
      </c>
      <c r="H81" t="s">
        <v>46</v>
      </c>
      <c r="I81" t="s">
        <v>28</v>
      </c>
      <c r="J81" t="s">
        <v>15</v>
      </c>
    </row>
    <row r="82" spans="1:10" x14ac:dyDescent="0.2">
      <c r="A82" t="s">
        <v>199</v>
      </c>
      <c r="B82" t="s">
        <v>200</v>
      </c>
      <c r="C82" s="1">
        <v>-0.63400000000000001</v>
      </c>
      <c r="D82" s="1">
        <v>0.01</v>
      </c>
      <c r="E82">
        <v>1</v>
      </c>
      <c r="F82">
        <v>0</v>
      </c>
      <c r="G82" s="1">
        <v>0</v>
      </c>
      <c r="H82" t="s">
        <v>40</v>
      </c>
      <c r="I82" t="s">
        <v>28</v>
      </c>
      <c r="J82" t="s">
        <v>15</v>
      </c>
    </row>
    <row r="83" spans="1:10" x14ac:dyDescent="0.2">
      <c r="A83" t="s">
        <v>201</v>
      </c>
      <c r="B83" t="s">
        <v>202</v>
      </c>
      <c r="C83" s="1">
        <v>-0.75</v>
      </c>
      <c r="D83" s="1">
        <v>0</v>
      </c>
      <c r="E83">
        <v>0</v>
      </c>
      <c r="F83">
        <v>0</v>
      </c>
      <c r="G83" s="1">
        <v>0</v>
      </c>
      <c r="H83" t="s">
        <v>27</v>
      </c>
      <c r="I83" t="s">
        <v>28</v>
      </c>
      <c r="J83" t="s">
        <v>15</v>
      </c>
    </row>
    <row r="84" spans="1:10" x14ac:dyDescent="0.2">
      <c r="A84" t="s">
        <v>203</v>
      </c>
      <c r="B84" t="s">
        <v>204</v>
      </c>
      <c r="C84" s="1">
        <v>-3.7440000000000002</v>
      </c>
      <c r="D84" s="1">
        <v>0</v>
      </c>
      <c r="E84">
        <v>0</v>
      </c>
      <c r="F84">
        <v>0</v>
      </c>
      <c r="G84" s="1">
        <v>0</v>
      </c>
      <c r="H84" t="s">
        <v>101</v>
      </c>
      <c r="I84" t="s">
        <v>28</v>
      </c>
      <c r="J84" t="s">
        <v>15</v>
      </c>
    </row>
    <row r="85" spans="1:10" x14ac:dyDescent="0.2">
      <c r="A85" t="s">
        <v>205</v>
      </c>
      <c r="B85" t="s">
        <v>206</v>
      </c>
      <c r="C85" s="1">
        <v>-4.3125</v>
      </c>
      <c r="D85" s="1">
        <v>0</v>
      </c>
      <c r="E85">
        <v>0</v>
      </c>
      <c r="F85">
        <v>0</v>
      </c>
      <c r="G85" s="1">
        <v>0</v>
      </c>
      <c r="H85" t="s">
        <v>207</v>
      </c>
      <c r="I85" t="s">
        <v>18</v>
      </c>
      <c r="J85" t="s">
        <v>15</v>
      </c>
    </row>
    <row r="86" spans="1:10" x14ac:dyDescent="0.2">
      <c r="A86" t="s">
        <v>208</v>
      </c>
      <c r="B86" t="s">
        <v>209</v>
      </c>
      <c r="C86" s="1">
        <v>-4.3125</v>
      </c>
      <c r="D86" s="1">
        <v>0</v>
      </c>
      <c r="E86">
        <v>0</v>
      </c>
      <c r="F86">
        <v>0</v>
      </c>
      <c r="G86" s="1">
        <v>0</v>
      </c>
      <c r="H86" t="s">
        <v>68</v>
      </c>
      <c r="I86" t="s">
        <v>18</v>
      </c>
      <c r="J86" t="s">
        <v>15</v>
      </c>
    </row>
    <row r="87" spans="1:10" x14ac:dyDescent="0.2">
      <c r="A87" t="s">
        <v>210</v>
      </c>
      <c r="B87" t="s">
        <v>211</v>
      </c>
      <c r="C87" s="1">
        <v>-4.3125</v>
      </c>
      <c r="D87" s="1">
        <v>0</v>
      </c>
      <c r="E87">
        <v>0</v>
      </c>
      <c r="F87">
        <v>0</v>
      </c>
      <c r="G87" s="1">
        <v>0</v>
      </c>
      <c r="H87" t="s">
        <v>40</v>
      </c>
      <c r="I87" t="s">
        <v>18</v>
      </c>
      <c r="J87" t="s">
        <v>15</v>
      </c>
    </row>
    <row r="88" spans="1:10" x14ac:dyDescent="0.2">
      <c r="A88" t="s">
        <v>2</v>
      </c>
      <c r="C88" s="1">
        <f>SUBTOTAL(109,Merchant_Portfolio[Payout Amount])</f>
        <v>34310.241699999999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/>
  </sheetViews>
  <sheetFormatPr baseColWidth="10" defaultColWidth="8.83203125" defaultRowHeight="15" x14ac:dyDescent="0.2"/>
  <cols>
    <col min="1" max="1" width="107" customWidth="1"/>
    <col min="2" max="2" width="24" customWidth="1"/>
    <col min="3" max="3" width="17" style="1" customWidth="1"/>
  </cols>
  <sheetData>
    <row r="1" spans="1:3" x14ac:dyDescent="0.2">
      <c r="A1" t="s">
        <v>212</v>
      </c>
      <c r="B1" t="s">
        <v>213</v>
      </c>
      <c r="C1" s="1" t="s">
        <v>0</v>
      </c>
    </row>
    <row r="2" spans="1:3" x14ac:dyDescent="0.2">
      <c r="A2" t="s">
        <v>214</v>
      </c>
      <c r="B2" t="s">
        <v>215</v>
      </c>
      <c r="C2" s="1">
        <v>2.5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"/>
  <sheetViews>
    <sheetView workbookViewId="0"/>
  </sheetViews>
  <sheetFormatPr baseColWidth="10" defaultColWidth="8.83203125" defaultRowHeight="15" x14ac:dyDescent="0.2"/>
  <cols>
    <col min="1" max="1" width="12" customWidth="1"/>
    <col min="2" max="2" width="17" customWidth="1"/>
    <col min="3" max="3" width="17" style="1" customWidth="1"/>
    <col min="4" max="4" width="17" customWidth="1"/>
    <col min="5" max="5" width="12" customWidth="1"/>
  </cols>
  <sheetData>
    <row r="1" spans="1:5" x14ac:dyDescent="0.2">
      <c r="A1" t="s">
        <v>3</v>
      </c>
      <c r="B1" t="s">
        <v>213</v>
      </c>
      <c r="C1" s="1" t="s">
        <v>5</v>
      </c>
      <c r="D1" t="s">
        <v>216</v>
      </c>
      <c r="E1" t="s">
        <v>10</v>
      </c>
    </row>
    <row r="2" spans="1:5" x14ac:dyDescent="0.2">
      <c r="A2" t="s">
        <v>1</v>
      </c>
      <c r="B2" t="s">
        <v>1</v>
      </c>
      <c r="C2" s="1" t="s">
        <v>1</v>
      </c>
      <c r="D2" t="s">
        <v>1</v>
      </c>
      <c r="E2" t="s">
        <v>1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Merchant Portfolio</vt:lpstr>
      <vt:lpstr>Misc Adjustments</vt:lpstr>
      <vt:lpstr>Upfront Bonus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2025-04-23T19:30:53Z</dcterms:created>
  <dcterms:modified xsi:type="dcterms:W3CDTF">2025-04-28T13:50:00Z</dcterms:modified>
  <cp:category/>
</cp:coreProperties>
</file>